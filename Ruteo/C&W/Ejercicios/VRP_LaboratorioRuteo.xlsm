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43b8714300244e8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3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acbookairm1/Documents/Universidad/Septimo Semestre/Logistica/Codigo/Ruteo/C&amp;W/Ejercicios/"/>
    </mc:Choice>
  </mc:AlternateContent>
  <xr:revisionPtr revIDLastSave="0" documentId="13_ncr:1_{9A1258E6-CD58-4542-9C3D-AAFE837644EB}" xr6:coauthVersionLast="47" xr6:coauthVersionMax="47" xr10:uidLastSave="{00000000-0000-0000-0000-000000000000}"/>
  <bookViews>
    <workbookView xWindow="0" yWindow="0" windowWidth="28800" windowHeight="18000" tabRatio="705" firstSheet="1" activeTab="6" xr2:uid="{00000000-000D-0000-FFFF-FFFF00000000}"/>
  </bookViews>
  <sheets>
    <sheet name="VRP Solver Console" sheetId="231" r:id="rId1"/>
    <sheet name="1.Locations" sheetId="232" r:id="rId2"/>
    <sheet name="2.Distances" sheetId="235" r:id="rId3"/>
    <sheet name="3.Vehicles" sheetId="236" r:id="rId4"/>
    <sheet name="3.1.Vehicle Compatibility" sheetId="237" r:id="rId5"/>
    <sheet name="4.Solution" sheetId="240" r:id="rId6"/>
    <sheet name="Matriz de distancias" sheetId="241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76" i="241" l="1"/>
  <c r="R174" i="241"/>
  <c r="O179" i="241"/>
  <c r="O167" i="241"/>
  <c r="R162" i="241"/>
  <c r="O155" i="241"/>
  <c r="R152" i="241"/>
  <c r="R150" i="241"/>
  <c r="O143" i="241"/>
  <c r="R140" i="241"/>
  <c r="R138" i="241"/>
  <c r="R128" i="241"/>
  <c r="R126" i="241"/>
  <c r="O131" i="241"/>
  <c r="O107" i="241"/>
  <c r="R92" i="241"/>
  <c r="O95" i="241"/>
  <c r="R78" i="241"/>
  <c r="O83" i="241"/>
  <c r="O71" i="241"/>
  <c r="O59" i="241"/>
  <c r="O45" i="241"/>
  <c r="O33" i="241"/>
  <c r="R43" i="241"/>
  <c r="R42" i="241"/>
  <c r="R41" i="241"/>
  <c r="R29" i="241"/>
  <c r="AC18" i="241"/>
  <c r="AB19" i="241"/>
  <c r="AA18" i="241"/>
  <c r="Z19" i="241"/>
  <c r="Y18" i="241"/>
  <c r="X19" i="241"/>
  <c r="W18" i="241"/>
  <c r="V19" i="241"/>
  <c r="O46" i="241"/>
  <c r="O34" i="241"/>
  <c r="R31" i="241"/>
  <c r="R30" i="241"/>
  <c r="N17" i="241"/>
  <c r="N18" i="241"/>
  <c r="N19" i="241"/>
  <c r="N20" i="241"/>
  <c r="N21" i="241"/>
  <c r="N22" i="241"/>
  <c r="N23" i="241"/>
  <c r="N24" i="241"/>
  <c r="N16" i="241"/>
  <c r="C4" i="241" l="1" a="1"/>
  <c r="C4" i="241" s="1"/>
  <c r="C5" i="241" a="1"/>
  <c r="C5" i="241" s="1"/>
  <c r="C6" i="241" a="1"/>
  <c r="C6" i="241" s="1"/>
  <c r="C7" i="241" a="1"/>
  <c r="C7" i="241" s="1"/>
  <c r="C8" i="241" a="1"/>
  <c r="C8" i="241" s="1"/>
  <c r="C9" i="241" a="1"/>
  <c r="C9" i="241" s="1"/>
  <c r="C10" i="241" a="1"/>
  <c r="C10" i="241" s="1"/>
  <c r="C11" i="241" a="1"/>
  <c r="C11" i="241" s="1"/>
  <c r="C12" i="241" a="1"/>
  <c r="C12" i="241" s="1"/>
  <c r="X3" i="240"/>
  <c r="Z5" i="240"/>
  <c r="S5" i="240"/>
  <c r="G3" i="240"/>
  <c r="I5" i="240"/>
  <c r="B5" i="240"/>
  <c r="B10" i="237"/>
  <c r="A10" i="237"/>
  <c r="B9" i="237"/>
  <c r="A9" i="237"/>
  <c r="B8" i="237"/>
  <c r="A8" i="237"/>
  <c r="B7" i="237"/>
  <c r="A7" i="237"/>
  <c r="B6" i="237"/>
  <c r="A6" i="237"/>
  <c r="B5" i="237"/>
  <c r="A5" i="237"/>
  <c r="B4" i="237"/>
  <c r="A4" i="237"/>
  <c r="B3" i="237"/>
  <c r="A3" i="237"/>
  <c r="B2" i="237"/>
  <c r="A2" i="237"/>
  <c r="D1" i="237"/>
  <c r="C1" i="237"/>
  <c r="L3" i="236"/>
  <c r="L2" i="236"/>
  <c r="D81" i="235"/>
  <c r="D80" i="235"/>
  <c r="D79" i="235"/>
  <c r="D78" i="235"/>
  <c r="D77" i="235"/>
  <c r="D76" i="235"/>
  <c r="D75" i="235"/>
  <c r="D74" i="235"/>
  <c r="D73" i="235"/>
  <c r="D71" i="235"/>
  <c r="D70" i="235"/>
  <c r="D69" i="235"/>
  <c r="D68" i="235"/>
  <c r="D67" i="235"/>
  <c r="D66" i="235"/>
  <c r="D65" i="235"/>
  <c r="D64" i="235"/>
  <c r="D63" i="235"/>
  <c r="D61" i="235"/>
  <c r="D60" i="235"/>
  <c r="D59" i="235"/>
  <c r="D58" i="235"/>
  <c r="D57" i="235"/>
  <c r="D56" i="235"/>
  <c r="D55" i="235"/>
  <c r="D54" i="235"/>
  <c r="D53" i="235"/>
  <c r="D51" i="235"/>
  <c r="D50" i="235"/>
  <c r="D49" i="235"/>
  <c r="D48" i="235"/>
  <c r="D47" i="235"/>
  <c r="D46" i="235"/>
  <c r="D45" i="235"/>
  <c r="D44" i="235"/>
  <c r="D43" i="235"/>
  <c r="D41" i="235"/>
  <c r="D40" i="235"/>
  <c r="D39" i="235"/>
  <c r="D38" i="235"/>
  <c r="D37" i="235"/>
  <c r="D36" i="235"/>
  <c r="D35" i="235"/>
  <c r="D34" i="235"/>
  <c r="D33" i="235"/>
  <c r="D31" i="235"/>
  <c r="D30" i="235"/>
  <c r="D29" i="235"/>
  <c r="D28" i="235"/>
  <c r="D27" i="235"/>
  <c r="D26" i="235"/>
  <c r="D25" i="235"/>
  <c r="D24" i="235"/>
  <c r="D23" i="235"/>
  <c r="D21" i="235"/>
  <c r="D20" i="235"/>
  <c r="D19" i="235"/>
  <c r="D18" i="235"/>
  <c r="D17" i="235"/>
  <c r="D16" i="235"/>
  <c r="D15" i="235"/>
  <c r="D14" i="235"/>
  <c r="D13" i="235"/>
  <c r="D11" i="235"/>
  <c r="D10" i="235"/>
  <c r="D9" i="235"/>
  <c r="D8" i="235"/>
  <c r="D7" i="235"/>
  <c r="D6" i="235"/>
  <c r="D5" i="235"/>
  <c r="D4" i="235"/>
  <c r="D3" i="235"/>
  <c r="C6" i="240"/>
  <c r="C7" i="240"/>
  <c r="T8" i="240"/>
  <c r="C12" i="240"/>
  <c r="C8" i="240"/>
  <c r="T7" i="240"/>
  <c r="T12" i="240"/>
  <c r="C14" i="240"/>
  <c r="C5" i="240"/>
  <c r="T13" i="240"/>
  <c r="T14" i="240"/>
  <c r="T5" i="240"/>
  <c r="T9" i="240"/>
  <c r="T6" i="240"/>
  <c r="C13" i="240"/>
  <c r="C11" i="240"/>
  <c r="C9" i="240"/>
  <c r="T10" i="240"/>
  <c r="T11" i="240"/>
  <c r="C10" i="240"/>
  <c r="G23" i="241" l="1"/>
  <c r="H23" i="241"/>
  <c r="I23" i="241"/>
  <c r="C23" i="241"/>
  <c r="K23" i="241"/>
  <c r="D23" i="241"/>
  <c r="E23" i="241"/>
  <c r="F23" i="241"/>
  <c r="C19" i="241"/>
  <c r="K19" i="241"/>
  <c r="D19" i="241"/>
  <c r="E19" i="241"/>
  <c r="G19" i="241"/>
  <c r="H19" i="241"/>
  <c r="I19" i="241"/>
  <c r="J19" i="241"/>
  <c r="D18" i="241"/>
  <c r="F18" i="241"/>
  <c r="G18" i="241"/>
  <c r="H18" i="241"/>
  <c r="I18" i="241"/>
  <c r="J18" i="241"/>
  <c r="K18" i="241"/>
  <c r="C18" i="241"/>
  <c r="H22" i="241"/>
  <c r="J22" i="241"/>
  <c r="C22" i="241"/>
  <c r="K22" i="241"/>
  <c r="D22" i="241"/>
  <c r="E22" i="241"/>
  <c r="F22" i="241"/>
  <c r="G22" i="241"/>
  <c r="J20" i="241"/>
  <c r="C20" i="241"/>
  <c r="K20" i="241"/>
  <c r="D20" i="241"/>
  <c r="E20" i="241"/>
  <c r="F20" i="241"/>
  <c r="H20" i="241"/>
  <c r="I20" i="241"/>
  <c r="C17" i="241"/>
  <c r="E17" i="241"/>
  <c r="F17" i="241"/>
  <c r="G17" i="241"/>
  <c r="H17" i="241"/>
  <c r="I17" i="241"/>
  <c r="J17" i="241"/>
  <c r="K17" i="241"/>
  <c r="I21" i="241"/>
  <c r="J21" i="241"/>
  <c r="C21" i="241"/>
  <c r="K21" i="241"/>
  <c r="D21" i="241"/>
  <c r="E21" i="241"/>
  <c r="F21" i="241"/>
  <c r="G21" i="241"/>
  <c r="F24" i="241"/>
  <c r="G24" i="241"/>
  <c r="H24" i="241"/>
  <c r="I24" i="241"/>
  <c r="J24" i="241"/>
  <c r="C24" i="241"/>
  <c r="D24" i="241"/>
  <c r="E24" i="241"/>
  <c r="F16" i="241"/>
  <c r="G16" i="241"/>
  <c r="H16" i="241"/>
  <c r="I16" i="241"/>
  <c r="J16" i="241"/>
  <c r="K16" i="241"/>
  <c r="D16" i="241"/>
  <c r="C16" i="241"/>
  <c r="E16" i="241"/>
  <c r="V8" i="240"/>
  <c r="AC8" i="240"/>
  <c r="AD8" i="240"/>
  <c r="U8" i="240"/>
  <c r="L9" i="240"/>
  <c r="O9" i="240"/>
  <c r="E9" i="240"/>
  <c r="M9" i="240"/>
  <c r="D9" i="240"/>
  <c r="F13" i="240"/>
  <c r="E13" i="240"/>
  <c r="L13" i="240"/>
  <c r="H13" i="240"/>
  <c r="I13" i="240" s="1"/>
  <c r="J13" i="240" s="1"/>
  <c r="O13" i="240"/>
  <c r="M13" i="240"/>
  <c r="P13" i="240"/>
  <c r="G13" i="240"/>
  <c r="D13" i="240"/>
  <c r="K13" i="240"/>
  <c r="N13" i="240"/>
  <c r="U5" i="240"/>
  <c r="V5" i="240"/>
  <c r="D5" i="240"/>
  <c r="E5" i="240"/>
  <c r="AE12" i="240"/>
  <c r="AD12" i="240"/>
  <c r="V12" i="240"/>
  <c r="AG12" i="240"/>
  <c r="Y12" i="240"/>
  <c r="Z12" i="240" s="1"/>
  <c r="AA12" i="240" s="1"/>
  <c r="AF12" i="240"/>
  <c r="X12" i="240"/>
  <c r="W12" i="240"/>
  <c r="AC12" i="240"/>
  <c r="U12" i="240"/>
  <c r="AB12" i="240"/>
  <c r="M8" i="240"/>
  <c r="E8" i="240"/>
  <c r="D8" i="240"/>
  <c r="L8" i="240"/>
  <c r="P12" i="240"/>
  <c r="H12" i="240"/>
  <c r="I12" i="240" s="1"/>
  <c r="J12" i="240" s="1"/>
  <c r="O12" i="240"/>
  <c r="G12" i="240"/>
  <c r="N12" i="240"/>
  <c r="F12" i="240"/>
  <c r="M12" i="240"/>
  <c r="E12" i="240"/>
  <c r="L12" i="240"/>
  <c r="K12" i="240"/>
  <c r="D12" i="240"/>
  <c r="E7" i="240"/>
  <c r="L7" i="240"/>
  <c r="M7" i="240"/>
  <c r="D7" i="240"/>
  <c r="N11" i="240"/>
  <c r="F11" i="240"/>
  <c r="M11" i="240"/>
  <c r="H11" i="240"/>
  <c r="I11" i="240" s="1"/>
  <c r="J11" i="240" s="1"/>
  <c r="E11" i="240"/>
  <c r="D11" i="240"/>
  <c r="L11" i="240"/>
  <c r="K11" i="240"/>
  <c r="O11" i="240"/>
  <c r="G11" i="240"/>
  <c r="P11" i="240"/>
  <c r="AD6" i="240"/>
  <c r="V6" i="240"/>
  <c r="AC6" i="240"/>
  <c r="AE6" i="240" s="1"/>
  <c r="U6" i="240"/>
  <c r="AB6" i="240"/>
  <c r="AB7" i="240" s="1"/>
  <c r="AB8" i="240" s="1"/>
  <c r="AB9" i="240" s="1"/>
  <c r="AB10" i="240" s="1"/>
  <c r="Y6" i="240"/>
  <c r="Z6" i="240" s="1"/>
  <c r="X6" i="240"/>
  <c r="X7" i="240" s="1"/>
  <c r="X8" i="240" s="1"/>
  <c r="X9" i="240" s="1"/>
  <c r="X10" i="240" s="1"/>
  <c r="W6" i="240"/>
  <c r="W7" i="240" s="1"/>
  <c r="W8" i="240" s="1"/>
  <c r="W9" i="240" s="1"/>
  <c r="W10" i="240" s="1"/>
  <c r="AD14" i="240"/>
  <c r="V14" i="240"/>
  <c r="X14" i="240"/>
  <c r="AC14" i="240"/>
  <c r="U14" i="240"/>
  <c r="AF14" i="240"/>
  <c r="AB14" i="240"/>
  <c r="AE14" i="240"/>
  <c r="W14" i="240"/>
  <c r="AG14" i="240"/>
  <c r="Y14" i="240"/>
  <c r="Z14" i="240" s="1"/>
  <c r="AA14" i="240" s="1"/>
  <c r="L14" i="240"/>
  <c r="D14" i="240"/>
  <c r="K14" i="240"/>
  <c r="H14" i="240"/>
  <c r="I14" i="240" s="1"/>
  <c r="J14" i="240" s="1"/>
  <c r="N14" i="240"/>
  <c r="P14" i="240"/>
  <c r="O14" i="240"/>
  <c r="M14" i="240"/>
  <c r="E14" i="240"/>
  <c r="G14" i="240"/>
  <c r="F14" i="240"/>
  <c r="AC7" i="240"/>
  <c r="AD7" i="240"/>
  <c r="V7" i="240"/>
  <c r="U7" i="240"/>
  <c r="AF11" i="240"/>
  <c r="X11" i="240"/>
  <c r="AC11" i="240"/>
  <c r="AE11" i="240"/>
  <c r="W11" i="240"/>
  <c r="AD11" i="240"/>
  <c r="V11" i="240"/>
  <c r="U11" i="240"/>
  <c r="AB11" i="240"/>
  <c r="AG11" i="240"/>
  <c r="Y11" i="240"/>
  <c r="Z11" i="240" s="1"/>
  <c r="AA11" i="240" s="1"/>
  <c r="AD10" i="240"/>
  <c r="V10" i="240"/>
  <c r="AF10" i="240"/>
  <c r="AC10" i="240"/>
  <c r="U10" i="240"/>
  <c r="AE10" i="240"/>
  <c r="L6" i="240"/>
  <c r="N6" i="240" s="1"/>
  <c r="D6" i="240"/>
  <c r="F6" i="240"/>
  <c r="F7" i="240" s="1"/>
  <c r="F8" i="240" s="1"/>
  <c r="F9" i="240" s="1"/>
  <c r="F10" i="240" s="1"/>
  <c r="K6" i="240"/>
  <c r="K7" i="240" s="1"/>
  <c r="K8" i="240" s="1"/>
  <c r="K9" i="240" s="1"/>
  <c r="K10" i="240" s="1"/>
  <c r="H6" i="240"/>
  <c r="I6" i="240" s="1"/>
  <c r="J6" i="240" s="1"/>
  <c r="M6" i="240"/>
  <c r="E6" i="240"/>
  <c r="G6" i="240"/>
  <c r="G7" i="240" s="1"/>
  <c r="G8" i="240" s="1"/>
  <c r="G9" i="240" s="1"/>
  <c r="G10" i="240" s="1"/>
  <c r="L10" i="240"/>
  <c r="D10" i="240"/>
  <c r="N10" i="240"/>
  <c r="M10" i="240"/>
  <c r="E10" i="240"/>
  <c r="O10" i="240"/>
  <c r="V9" i="240"/>
  <c r="AF9" i="240"/>
  <c r="AC9" i="240"/>
  <c r="U9" i="240"/>
  <c r="AD9" i="240"/>
  <c r="AB13" i="240"/>
  <c r="AF13" i="240"/>
  <c r="X13" i="240"/>
  <c r="AG13" i="240"/>
  <c r="Y13" i="240"/>
  <c r="Z13" i="240" s="1"/>
  <c r="AA13" i="240" s="1"/>
  <c r="V13" i="240"/>
  <c r="AC13" i="240"/>
  <c r="U13" i="240"/>
  <c r="AE13" i="240"/>
  <c r="W13" i="240"/>
  <c r="AD13" i="240"/>
  <c r="Z3" i="240"/>
  <c r="I3" i="240"/>
  <c r="O8" i="240" l="1"/>
  <c r="O7" i="240" s="1"/>
  <c r="O6" i="240" s="1"/>
  <c r="O5" i="240" s="1"/>
  <c r="P5" i="240" s="1"/>
  <c r="AF8" i="240"/>
  <c r="AF7" i="240" s="1"/>
  <c r="AF6" i="240" s="1"/>
  <c r="AF5" i="240" s="1"/>
  <c r="AG5" i="240" s="1"/>
  <c r="P10" i="240"/>
  <c r="AG10" i="240"/>
  <c r="H7" i="240"/>
  <c r="I7" i="240" s="1"/>
  <c r="J7" i="240" s="1"/>
  <c r="B1" i="240"/>
  <c r="AA6" i="240"/>
  <c r="Y7" i="240"/>
  <c r="Z7" i="240" s="1"/>
  <c r="N7" i="240"/>
  <c r="AE7" i="240"/>
  <c r="AG6" i="240" l="1"/>
  <c r="AG7" i="240"/>
  <c r="P6" i="240"/>
  <c r="H8" i="240"/>
  <c r="I8" i="240" s="1"/>
  <c r="H9" i="240" s="1"/>
  <c r="I9" i="240" s="1"/>
  <c r="AE8" i="240"/>
  <c r="P7" i="240"/>
  <c r="N8" i="240"/>
  <c r="AA7" i="240"/>
  <c r="Y8" i="240"/>
  <c r="Z8" i="240" s="1"/>
  <c r="J8" i="240" l="1"/>
  <c r="AA8" i="240"/>
  <c r="Y9" i="240"/>
  <c r="Z9" i="240" s="1"/>
  <c r="P8" i="240"/>
  <c r="N9" i="240"/>
  <c r="P9" i="240" s="1"/>
  <c r="H10" i="240"/>
  <c r="I10" i="240" s="1"/>
  <c r="J10" i="240" s="1"/>
  <c r="J9" i="240"/>
  <c r="AG8" i="240"/>
  <c r="AE9" i="240"/>
  <c r="AG9" i="240" s="1"/>
  <c r="AA9" i="240" l="1"/>
  <c r="Y10" i="240"/>
  <c r="Z10" i="240" s="1"/>
  <c r="AA10" i="240" s="1"/>
  <c r="D23" i="23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<sst xmlns="http://schemas.openxmlformats.org/spreadsheetml/2006/main" count="634" uniqueCount="162">
  <si>
    <t>Sequence</t>
  </si>
  <si>
    <t>Parameter</t>
  </si>
  <si>
    <t>Value</t>
  </si>
  <si>
    <t>Remarks</t>
  </si>
  <si>
    <t>0.Optional - GIS License</t>
  </si>
  <si>
    <t>Bing Maps Key</t>
  </si>
  <si>
    <t>1.Locations</t>
  </si>
  <si>
    <t>Number of customers</t>
  </si>
  <si>
    <t>2.Distances</t>
  </si>
  <si>
    <t>Bing Maps route type</t>
  </si>
  <si>
    <t>Fastest</t>
  </si>
  <si>
    <t>Average vehicle speed</t>
  </si>
  <si>
    <t>3.Vehicles</t>
  </si>
  <si>
    <t>Number of vehicle types</t>
  </si>
  <si>
    <t>4.Solution</t>
  </si>
  <si>
    <t>Yes</t>
  </si>
  <si>
    <t>Time window type</t>
  </si>
  <si>
    <t>Hard</t>
  </si>
  <si>
    <t>5.Optional - Visualization</t>
  </si>
  <si>
    <t>Visualization background</t>
  </si>
  <si>
    <t>Location labels</t>
  </si>
  <si>
    <t>6.Solver</t>
  </si>
  <si>
    <t>Warm start?</t>
  </si>
  <si>
    <t>CPU time limit (seconds)</t>
  </si>
  <si>
    <t>[5,200]</t>
  </si>
  <si>
    <t>Number of depots</t>
  </si>
  <si>
    <t>[1,20]</t>
  </si>
  <si>
    <t>No</t>
  </si>
  <si>
    <t>Backhauls?</t>
  </si>
  <si>
    <t>Show progress on the status bar?</t>
  </si>
  <si>
    <t>If activated, delivery locations must be visited before pickup locations</t>
  </si>
  <si>
    <t>Bing Maps</t>
  </si>
  <si>
    <t>You can get a free trial key at https://www.bingmapsportal.com/</t>
  </si>
  <si>
    <t>Recommendation: Use 'postcode, country' format for addresses</t>
  </si>
  <si>
    <t>Recommendation: Use 'Fastest'</t>
  </si>
  <si>
    <t>Do the vehicles return to their depot(s)?</t>
  </si>
  <si>
    <t>Yes - only once at the end</t>
  </si>
  <si>
    <t>Distance computation method</t>
  </si>
  <si>
    <t>Duration computation method</t>
  </si>
  <si>
    <t>Location IDs</t>
  </si>
  <si>
    <t>nyDG9KPDJuXvRFNMhE5N~wjyqSOMHfr_DU04Oh1Fapw~AsNH7oC_GGriDC1KUSxdwV7PPMgM_hanP_6fSawbrYPMwS4vuinn0RTIzIUJvKMl</t>
  </si>
  <si>
    <t>km/h</t>
  </si>
  <si>
    <t>Location ID</t>
  </si>
  <si>
    <t>Name</t>
  </si>
  <si>
    <t>Address</t>
  </si>
  <si>
    <t>Latitude (y)</t>
  </si>
  <si>
    <t>Longitude (x)</t>
  </si>
  <si>
    <t>Time window start</t>
  </si>
  <si>
    <t>Time window end</t>
  </si>
  <si>
    <t>Must be visited?</t>
  </si>
  <si>
    <t>Service time</t>
  </si>
  <si>
    <t>Pickup amount</t>
  </si>
  <si>
    <t>Delivery amount</t>
  </si>
  <si>
    <t>Profit</t>
  </si>
  <si>
    <t>Depot</t>
  </si>
  <si>
    <t>Starting location</t>
  </si>
  <si>
    <t>Customer 1</t>
  </si>
  <si>
    <t>Must be visited</t>
  </si>
  <si>
    <t>Customer 2</t>
  </si>
  <si>
    <t>Customer 3</t>
  </si>
  <si>
    <t>Customer 4</t>
  </si>
  <si>
    <t>Customer 5</t>
  </si>
  <si>
    <t>Customer 6</t>
  </si>
  <si>
    <t>Customer 7</t>
  </si>
  <si>
    <t>Customer 8</t>
  </si>
  <si>
    <t>Euclidian distances</t>
  </si>
  <si>
    <t>From</t>
  </si>
  <si>
    <t>To</t>
  </si>
  <si>
    <t>Distance</t>
  </si>
  <si>
    <t>Duration</t>
  </si>
  <si>
    <t>Method:</t>
  </si>
  <si>
    <t>Euclidian distances / Average vehicle speed</t>
  </si>
  <si>
    <t>Starting depot</t>
  </si>
  <si>
    <t>Vehicle type</t>
  </si>
  <si>
    <t>Capacity</t>
  </si>
  <si>
    <t>Fixed cost per trip</t>
  </si>
  <si>
    <t>Cost per unit distance</t>
  </si>
  <si>
    <t>Duration multiplier</t>
  </si>
  <si>
    <t>Distance limit</t>
  </si>
  <si>
    <t>Work start time</t>
  </si>
  <si>
    <t>Driving time limit</t>
  </si>
  <si>
    <t>Working time limit</t>
  </si>
  <si>
    <t>Return depot</t>
  </si>
  <si>
    <t>Destination ID</t>
  </si>
  <si>
    <t>Number of vehicles</t>
  </si>
  <si>
    <t>T1</t>
  </si>
  <si>
    <t>T2</t>
  </si>
  <si>
    <t>Location Name</t>
  </si>
  <si>
    <t>Compatible</t>
  </si>
  <si>
    <t>Not compatible</t>
  </si>
  <si>
    <t>Total net profit:</t>
  </si>
  <si>
    <t>Stop count</t>
  </si>
  <si>
    <t>Location name</t>
  </si>
  <si>
    <t>Distance travelled</t>
  </si>
  <si>
    <t>Driving time</t>
  </si>
  <si>
    <t>Arrival time</t>
  </si>
  <si>
    <t>Departure time</t>
  </si>
  <si>
    <t>Working time</t>
  </si>
  <si>
    <t>Profit collected</t>
  </si>
  <si>
    <t>Cumulative pickup</t>
  </si>
  <si>
    <t>Subtractive delivery</t>
  </si>
  <si>
    <t>Load</t>
  </si>
  <si>
    <t>Vehicle:</t>
  </si>
  <si>
    <t>V1 (T1)</t>
  </si>
  <si>
    <t>Stops:</t>
  </si>
  <si>
    <t>Net profit:</t>
  </si>
  <si>
    <t>V2 (T2)</t>
  </si>
  <si>
    <t>Detected reasons of infeasibility</t>
  </si>
  <si>
    <t>Matriz de distancias</t>
  </si>
  <si>
    <t>Matriz de ahorros</t>
  </si>
  <si>
    <t>Nodo</t>
  </si>
  <si>
    <t>Centro de Distribución</t>
  </si>
  <si>
    <t>Número de Canastas</t>
  </si>
  <si>
    <t>Iteracion 1</t>
  </si>
  <si>
    <t>Restricciones</t>
  </si>
  <si>
    <t>Distinta ruta</t>
  </si>
  <si>
    <t>Existe (i,0) y (0,j)</t>
  </si>
  <si>
    <t>Backorders</t>
  </si>
  <si>
    <t>Ruta</t>
  </si>
  <si>
    <t>0-2-1-0</t>
  </si>
  <si>
    <t>Capacidad</t>
  </si>
  <si>
    <t>Carga</t>
  </si>
  <si>
    <t>Capacidad maxima</t>
  </si>
  <si>
    <t>Carga -&gt; entrega</t>
  </si>
  <si>
    <t>Carga -&gt; recolecta</t>
  </si>
  <si>
    <t>0-0-0</t>
  </si>
  <si>
    <t>0-3-0</t>
  </si>
  <si>
    <t>0-4-0</t>
  </si>
  <si>
    <t>0-5-0</t>
  </si>
  <si>
    <t>0-6-0</t>
  </si>
  <si>
    <t>0-7-0</t>
  </si>
  <si>
    <t>0-8-0</t>
  </si>
  <si>
    <t>Ruta 1 consolidada</t>
  </si>
  <si>
    <t>Rutas existentes</t>
  </si>
  <si>
    <t>Rutas</t>
  </si>
  <si>
    <t>SI</t>
  </si>
  <si>
    <t>Arco</t>
  </si>
  <si>
    <t>Condiciones</t>
  </si>
  <si>
    <t>0-2-1-3-0</t>
  </si>
  <si>
    <t>Entrega</t>
  </si>
  <si>
    <t>Recolecta</t>
  </si>
  <si>
    <t>Valor carga</t>
  </si>
  <si>
    <t>Entrega = 0 / Recol = 1</t>
  </si>
  <si>
    <t>Iteracion 2</t>
  </si>
  <si>
    <t>NO</t>
  </si>
  <si>
    <t>Iteracion 3</t>
  </si>
  <si>
    <t>Iteracion 4</t>
  </si>
  <si>
    <t>0-2-1-3-8-0</t>
  </si>
  <si>
    <t>Iteracion 5</t>
  </si>
  <si>
    <t>0-6-2-1-3-0</t>
  </si>
  <si>
    <t>0-5-7-0</t>
  </si>
  <si>
    <t>Iteracion 6</t>
  </si>
  <si>
    <t>Iteracion 7</t>
  </si>
  <si>
    <t>0-5-7-4-0</t>
  </si>
  <si>
    <t>Iteracion 8</t>
  </si>
  <si>
    <t>Iteracion 9</t>
  </si>
  <si>
    <t>0-4-5-7-0</t>
  </si>
  <si>
    <t>Iteracion 10</t>
  </si>
  <si>
    <t>Iteracion 11</t>
  </si>
  <si>
    <t>0-4-5-7-8-0</t>
  </si>
  <si>
    <t>Iteracion 12</t>
  </si>
  <si>
    <t>0-8-4-5-7-0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</si>
</sst>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0000"/>
    <numFmt numFmtId="165" formatCode="hh:mm"/>
    <numFmt numFmtId="166" formatCode="[h]:mm"/>
  </numFmts>
  <fonts count="31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9"/>
      <name val="Calibri"/>
      <family val="2"/>
    </font>
    <font>
      <sz val="8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9C0006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  <font>
      <sz val="10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FA7D00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b/>
      <sz val="18"/>
      <color theme="3"/>
      <name val="Cambria"/>
      <family val="2"/>
      <scheme val="major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 Light"/>
      <family val="2"/>
    </font>
    <font>
      <sz val="12"/>
      <color theme="1"/>
      <name val="Calibri Light"/>
      <family val="2"/>
    </font>
    <font>
      <b/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indexed="57"/>
        <bgColor indexed="64"/>
      </patternFill>
    </fill>
    <fill>
      <patternFill patternType="solid">
        <fgColor indexed="57" tint="-1.9989623706778162E-2"/>
        <bgColor indexed="64"/>
      </patternFill>
    </fill>
    <fill>
      <patternFill patternType="solid">
        <fgColor indexed="57" tint="1.9989623706778162E-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 tint="-1.9989623706778162E-2"/>
        <bgColor indexed="64"/>
      </patternFill>
    </fill>
    <fill>
      <patternFill patternType="solid">
        <fgColor indexed="40" tint="-1.9989623706778162E-2"/>
        <bgColor indexed="64"/>
      </patternFill>
    </fill>
    <fill>
      <patternFill patternType="solid">
        <fgColor indexed="40" tint="1.9989623706778162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rgb="FFC0504D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D8E4BC"/>
        <bgColor rgb="FF00000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39997558519241921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9694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FFFFFF"/>
        <bgColor rgb="FF000000"/>
      </patternFill>
    </fill>
  </fills>
  <borders count="26">
    <border>
      <left/>
      <right/>
      <top/>
      <bottom/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9"/>
      </bottom>
      <diagonal/>
    </border>
    <border>
      <left/>
      <right/>
      <top style="thick">
        <color indexed="9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/>
      <bottom/>
      <diagonal/>
    </border>
    <border>
      <left/>
      <right style="thin">
        <color indexed="23"/>
      </right>
      <top style="thick">
        <color indexed="9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ck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6" fillId="27" borderId="0" applyNumberFormat="0" applyBorder="0" applyAlignment="0" applyProtection="0"/>
    <xf numFmtId="0" fontId="7" fillId="28" borderId="3" applyNumberFormat="0" applyAlignment="0" applyProtection="0"/>
    <xf numFmtId="0" fontId="8" fillId="29" borderId="4" applyNumberFormat="0" applyAlignment="0" applyProtection="0"/>
    <xf numFmtId="0" fontId="9" fillId="0" borderId="0" applyNumberFormat="0" applyFill="0" applyBorder="0" applyAlignment="0" applyProtection="0"/>
    <xf numFmtId="0" fontId="10" fillId="30" borderId="0" applyNumberFormat="0" applyBorder="0" applyAlignment="0" applyProtection="0"/>
    <xf numFmtId="0" fontId="11" fillId="0" borderId="5" applyNumberFormat="0" applyFill="0" applyAlignment="0" applyProtection="0"/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3" fillId="0" borderId="0" applyNumberFormat="0" applyFill="0" applyBorder="0" applyAlignment="0" applyProtection="0"/>
    <xf numFmtId="0" fontId="14" fillId="31" borderId="3" applyNumberFormat="0" applyAlignment="0" applyProtection="0"/>
    <xf numFmtId="0" fontId="15" fillId="0" borderId="8" applyNumberFormat="0" applyFill="0" applyAlignment="0" applyProtection="0"/>
    <xf numFmtId="0" fontId="16" fillId="32" borderId="0" applyNumberFormat="0" applyBorder="0" applyAlignment="0" applyProtection="0"/>
    <xf numFmtId="0" fontId="4" fillId="0" borderId="0"/>
    <xf numFmtId="0" fontId="1" fillId="33" borderId="9" applyNumberFormat="0" applyFont="0" applyAlignment="0" applyProtection="0"/>
    <xf numFmtId="0" fontId="17" fillId="28" borderId="10" applyNumberFormat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0" borderId="0" applyNumberFormat="0" applyFill="0" applyBorder="0" applyAlignment="0" applyProtection="0"/>
  </cellStyleXfs>
  <cellXfs count="159">
    <xf numFmtId="0" fontId="0" fillId="0" borderId="0" xfId="0"/>
    <xf numFmtId="0" fontId="2" fillId="2" borderId="0" xfId="0" applyFont="1" applyFill="1"/>
    <xf numFmtId="0" fontId="0" fillId="0" borderId="1" xfId="0" applyBorder="1"/>
    <xf numFmtId="0" fontId="0" fillId="0" borderId="2" xfId="0" applyBorder="1"/>
    <xf numFmtId="0" fontId="21" fillId="0" borderId="1" xfId="0" applyFont="1" applyBorder="1"/>
    <xf numFmtId="0" fontId="21" fillId="0" borderId="2" xfId="0" applyFont="1" applyBorder="1"/>
    <xf numFmtId="0" fontId="23" fillId="0" borderId="0" xfId="0" applyFont="1"/>
    <xf numFmtId="0" fontId="21" fillId="0" borderId="0" xfId="0" applyFont="1"/>
    <xf numFmtId="165" fontId="21" fillId="0" borderId="0" xfId="0" applyNumberFormat="1" applyFont="1"/>
    <xf numFmtId="0" fontId="22" fillId="2" borderId="0" xfId="0" applyFont="1" applyFill="1"/>
    <xf numFmtId="0" fontId="22" fillId="2" borderId="13" xfId="0" applyFont="1" applyFill="1" applyBorder="1"/>
    <xf numFmtId="0" fontId="22" fillId="36" borderId="13" xfId="0" applyFont="1" applyFill="1" applyBorder="1"/>
    <xf numFmtId="0" fontId="22" fillId="35" borderId="1" xfId="0" applyFont="1" applyFill="1" applyBorder="1"/>
    <xf numFmtId="0" fontId="22" fillId="2" borderId="1" xfId="0" applyFont="1" applyFill="1" applyBorder="1"/>
    <xf numFmtId="0" fontId="22" fillId="2" borderId="14" xfId="0" applyFont="1" applyFill="1" applyBorder="1"/>
    <xf numFmtId="0" fontId="22" fillId="35" borderId="14" xfId="0" applyFont="1" applyFill="1" applyBorder="1"/>
    <xf numFmtId="166" fontId="22" fillId="35" borderId="14" xfId="0" applyNumberFormat="1" applyFont="1" applyFill="1" applyBorder="1"/>
    <xf numFmtId="166" fontId="22" fillId="36" borderId="1" xfId="0" applyNumberFormat="1" applyFont="1" applyFill="1" applyBorder="1"/>
    <xf numFmtId="0" fontId="22" fillId="36" borderId="14" xfId="0" applyFont="1" applyFill="1" applyBorder="1"/>
    <xf numFmtId="166" fontId="22" fillId="36" borderId="14" xfId="0" applyNumberFormat="1" applyFont="1" applyFill="1" applyBorder="1"/>
    <xf numFmtId="0" fontId="21" fillId="0" borderId="15" xfId="0" applyFont="1" applyBorder="1"/>
    <xf numFmtId="0" fontId="22" fillId="35" borderId="15" xfId="0" applyFont="1" applyFill="1" applyBorder="1"/>
    <xf numFmtId="0" fontId="22" fillId="36" borderId="16" xfId="0" applyFont="1" applyFill="1" applyBorder="1"/>
    <xf numFmtId="0" fontId="22" fillId="35" borderId="17" xfId="0" applyFont="1" applyFill="1" applyBorder="1"/>
    <xf numFmtId="0" fontId="22" fillId="36" borderId="17" xfId="0" applyFont="1" applyFill="1" applyBorder="1"/>
    <xf numFmtId="0" fontId="22" fillId="35" borderId="18" xfId="0" applyFont="1" applyFill="1" applyBorder="1"/>
    <xf numFmtId="164" fontId="22" fillId="35" borderId="15" xfId="0" applyNumberFormat="1" applyFont="1" applyFill="1" applyBorder="1"/>
    <xf numFmtId="164" fontId="22" fillId="36" borderId="16" xfId="0" applyNumberFormat="1" applyFont="1" applyFill="1" applyBorder="1"/>
    <xf numFmtId="164" fontId="22" fillId="35" borderId="17" xfId="0" applyNumberFormat="1" applyFont="1" applyFill="1" applyBorder="1"/>
    <xf numFmtId="164" fontId="22" fillId="36" borderId="17" xfId="0" applyNumberFormat="1" applyFont="1" applyFill="1" applyBorder="1"/>
    <xf numFmtId="164" fontId="22" fillId="35" borderId="18" xfId="0" applyNumberFormat="1" applyFont="1" applyFill="1" applyBorder="1"/>
    <xf numFmtId="165" fontId="22" fillId="35" borderId="15" xfId="0" applyNumberFormat="1" applyFont="1" applyFill="1" applyBorder="1"/>
    <xf numFmtId="165" fontId="22" fillId="36" borderId="16" xfId="0" applyNumberFormat="1" applyFont="1" applyFill="1" applyBorder="1"/>
    <xf numFmtId="165" fontId="22" fillId="35" borderId="17" xfId="0" applyNumberFormat="1" applyFont="1" applyFill="1" applyBorder="1"/>
    <xf numFmtId="165" fontId="22" fillId="36" borderId="17" xfId="0" applyNumberFormat="1" applyFont="1" applyFill="1" applyBorder="1"/>
    <xf numFmtId="165" fontId="22" fillId="35" borderId="18" xfId="0" applyNumberFormat="1" applyFont="1" applyFill="1" applyBorder="1"/>
    <xf numFmtId="166" fontId="22" fillId="36" borderId="16" xfId="0" applyNumberFormat="1" applyFont="1" applyFill="1" applyBorder="1"/>
    <xf numFmtId="0" fontId="22" fillId="2" borderId="15" xfId="0" applyFont="1" applyFill="1" applyBorder="1"/>
    <xf numFmtId="166" fontId="22" fillId="2" borderId="15" xfId="0" applyNumberFormat="1" applyFont="1" applyFill="1" applyBorder="1"/>
    <xf numFmtId="2" fontId="22" fillId="36" borderId="0" xfId="0" applyNumberFormat="1" applyFont="1" applyFill="1"/>
    <xf numFmtId="166" fontId="22" fillId="36" borderId="0" xfId="0" applyNumberFormat="1" applyFont="1" applyFill="1"/>
    <xf numFmtId="2" fontId="22" fillId="35" borderId="14" xfId="0" applyNumberFormat="1" applyFont="1" applyFill="1" applyBorder="1"/>
    <xf numFmtId="2" fontId="22" fillId="36" borderId="1" xfId="0" applyNumberFormat="1" applyFont="1" applyFill="1" applyBorder="1"/>
    <xf numFmtId="2" fontId="22" fillId="36" borderId="14" xfId="0" applyNumberFormat="1" applyFont="1" applyFill="1" applyBorder="1"/>
    <xf numFmtId="0" fontId="22" fillId="34" borderId="0" xfId="0" applyFont="1" applyFill="1"/>
    <xf numFmtId="2" fontId="22" fillId="34" borderId="0" xfId="0" applyNumberFormat="1" applyFont="1" applyFill="1"/>
    <xf numFmtId="165" fontId="22" fillId="34" borderId="0" xfId="0" applyNumberFormat="1" applyFont="1" applyFill="1"/>
    <xf numFmtId="166" fontId="22" fillId="34" borderId="0" xfId="0" applyNumberFormat="1" applyFont="1" applyFill="1"/>
    <xf numFmtId="0" fontId="24" fillId="37" borderId="0" xfId="0" applyFont="1" applyFill="1"/>
    <xf numFmtId="0" fontId="22" fillId="34" borderId="19" xfId="0" applyFont="1" applyFill="1" applyBorder="1"/>
    <xf numFmtId="2" fontId="22" fillId="34" borderId="19" xfId="0" applyNumberFormat="1" applyFont="1" applyFill="1" applyBorder="1"/>
    <xf numFmtId="165" fontId="22" fillId="34" borderId="19" xfId="0" applyNumberFormat="1" applyFont="1" applyFill="1" applyBorder="1"/>
    <xf numFmtId="166" fontId="22" fillId="34" borderId="19" xfId="0" applyNumberFormat="1" applyFont="1" applyFill="1" applyBorder="1"/>
    <xf numFmtId="0" fontId="24" fillId="37" borderId="19" xfId="0" applyFont="1" applyFill="1" applyBorder="1"/>
    <xf numFmtId="0" fontId="22" fillId="38" borderId="0" xfId="0" applyFont="1" applyFill="1"/>
    <xf numFmtId="0" fontId="22" fillId="34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2" fillId="34" borderId="2" xfId="0" applyFont="1" applyFill="1" applyBorder="1" applyAlignment="1">
      <alignment horizontal="center"/>
    </xf>
    <xf numFmtId="2" fontId="24" fillId="37" borderId="0" xfId="0" applyNumberFormat="1" applyFont="1" applyFill="1"/>
    <xf numFmtId="166" fontId="24" fillId="37" borderId="0" xfId="0" applyNumberFormat="1" applyFont="1" applyFill="1"/>
    <xf numFmtId="165" fontId="24" fillId="37" borderId="0" xfId="0" applyNumberFormat="1" applyFont="1" applyFill="1"/>
    <xf numFmtId="0" fontId="24" fillId="37" borderId="1" xfId="0" applyFont="1" applyFill="1" applyBorder="1"/>
    <xf numFmtId="2" fontId="24" fillId="37" borderId="1" xfId="0" applyNumberFormat="1" applyFont="1" applyFill="1" applyBorder="1"/>
    <xf numFmtId="166" fontId="24" fillId="37" borderId="1" xfId="0" applyNumberFormat="1" applyFont="1" applyFill="1" applyBorder="1"/>
    <xf numFmtId="165" fontId="24" fillId="37" borderId="1" xfId="0" applyNumberFormat="1" applyFont="1" applyFill="1" applyBorder="1"/>
    <xf numFmtId="0" fontId="24" fillId="39" borderId="1" xfId="0" applyFont="1" applyFill="1" applyBorder="1"/>
    <xf numFmtId="0" fontId="24" fillId="39" borderId="14" xfId="0" applyFont="1" applyFill="1" applyBorder="1"/>
    <xf numFmtId="0" fontId="24" fillId="37" borderId="14" xfId="0" applyFont="1" applyFill="1" applyBorder="1"/>
    <xf numFmtId="2" fontId="24" fillId="37" borderId="14" xfId="0" applyNumberFormat="1" applyFont="1" applyFill="1" applyBorder="1"/>
    <xf numFmtId="166" fontId="24" fillId="37" borderId="14" xfId="0" applyNumberFormat="1" applyFont="1" applyFill="1" applyBorder="1"/>
    <xf numFmtId="165" fontId="24" fillId="37" borderId="14" xfId="0" applyNumberFormat="1" applyFont="1" applyFill="1" applyBorder="1"/>
    <xf numFmtId="0" fontId="24" fillId="40" borderId="14" xfId="0" applyFont="1" applyFill="1" applyBorder="1"/>
    <xf numFmtId="2" fontId="25" fillId="37" borderId="0" xfId="0" applyNumberFormat="1" applyFont="1" applyFill="1"/>
    <xf numFmtId="0" fontId="21" fillId="37" borderId="0" xfId="0" applyFont="1" applyFill="1"/>
    <xf numFmtId="2" fontId="21" fillId="37" borderId="0" xfId="0" applyNumberFormat="1" applyFont="1" applyFill="1"/>
    <xf numFmtId="0" fontId="0" fillId="0" borderId="20" xfId="0" applyBorder="1"/>
    <xf numFmtId="0" fontId="22" fillId="2" borderId="0" xfId="0" applyFont="1" applyFill="1" applyAlignment="1">
      <alignment horizontal="center" vertical="center"/>
    </xf>
    <xf numFmtId="0" fontId="22" fillId="2" borderId="12" xfId="0" applyFont="1" applyFill="1" applyBorder="1" applyAlignment="1">
      <alignment horizontal="center" vertical="center"/>
    </xf>
    <xf numFmtId="0" fontId="0" fillId="41" borderId="0" xfId="0" applyFill="1" applyBorder="1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27" fillId="0" borderId="20" xfId="0" applyFont="1" applyBorder="1" applyAlignment="1">
      <alignment horizontal="center" vertical="center"/>
    </xf>
    <xf numFmtId="0" fontId="28" fillId="0" borderId="20" xfId="0" applyFont="1" applyBorder="1" applyAlignment="1">
      <alignment horizontal="center" vertical="center"/>
    </xf>
    <xf numFmtId="0" fontId="28" fillId="41" borderId="20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/>
    <xf numFmtId="0" fontId="26" fillId="42" borderId="0" xfId="0" applyFont="1" applyFill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26" fillId="0" borderId="23" xfId="0" applyFont="1" applyBorder="1" applyAlignment="1">
      <alignment horizontal="center" vertical="center"/>
    </xf>
    <xf numFmtId="0" fontId="0" fillId="43" borderId="20" xfId="0" applyFill="1" applyBorder="1" applyAlignment="1">
      <alignment horizontal="center" vertical="center"/>
    </xf>
    <xf numFmtId="0" fontId="26" fillId="44" borderId="23" xfId="0" applyFont="1" applyFill="1" applyBorder="1" applyAlignment="1">
      <alignment horizontal="center" vertical="center"/>
    </xf>
    <xf numFmtId="0" fontId="26" fillId="43" borderId="23" xfId="0" applyFont="1" applyFill="1" applyBorder="1" applyAlignment="1">
      <alignment horizontal="center" vertical="center"/>
    </xf>
    <xf numFmtId="0" fontId="21" fillId="0" borderId="20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1" xfId="0" applyFont="1" applyBorder="1" applyAlignment="1">
      <alignment horizontal="center"/>
    </xf>
    <xf numFmtId="0" fontId="21" fillId="0" borderId="20" xfId="0" applyFont="1" applyFill="1" applyBorder="1" applyAlignment="1">
      <alignment horizontal="center"/>
    </xf>
    <xf numFmtId="0" fontId="0" fillId="45" borderId="20" xfId="0" applyFill="1" applyBorder="1" applyAlignment="1">
      <alignment horizontal="center"/>
    </xf>
    <xf numFmtId="0" fontId="28" fillId="0" borderId="0" xfId="0" applyFont="1" applyFill="1" applyBorder="1" applyAlignment="1">
      <alignment horizontal="center" vertical="center"/>
    </xf>
    <xf numFmtId="0" fontId="26" fillId="41" borderId="23" xfId="0" applyFont="1" applyFill="1" applyBorder="1" applyAlignment="1">
      <alignment horizontal="center" vertical="center"/>
    </xf>
    <xf numFmtId="0" fontId="26" fillId="46" borderId="22" xfId="0" applyFont="1" applyFill="1" applyBorder="1" applyAlignment="1">
      <alignment horizontal="center" vertical="center"/>
    </xf>
    <xf numFmtId="0" fontId="26" fillId="46" borderId="23" xfId="0" applyFont="1" applyFill="1" applyBorder="1" applyAlignment="1">
      <alignment horizontal="center" vertical="center"/>
    </xf>
    <xf numFmtId="0" fontId="26" fillId="47" borderId="23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26" fillId="46" borderId="21" xfId="0" applyFont="1" applyFill="1" applyBorder="1" applyAlignment="1">
      <alignment horizontal="center" vertical="center"/>
    </xf>
    <xf numFmtId="0" fontId="26" fillId="48" borderId="22" xfId="0" applyFont="1" applyFill="1" applyBorder="1" applyAlignment="1">
      <alignment horizontal="center" vertical="center"/>
    </xf>
    <xf numFmtId="0" fontId="26" fillId="48" borderId="23" xfId="0" applyFont="1" applyFill="1" applyBorder="1" applyAlignment="1">
      <alignment horizontal="center" vertical="center"/>
    </xf>
    <xf numFmtId="0" fontId="26" fillId="49" borderId="23" xfId="0" applyFont="1" applyFill="1" applyBorder="1" applyAlignment="1">
      <alignment horizontal="center" vertical="center"/>
    </xf>
    <xf numFmtId="0" fontId="26" fillId="48" borderId="21" xfId="0" applyFont="1" applyFill="1" applyBorder="1" applyAlignment="1">
      <alignment horizontal="center" vertical="center"/>
    </xf>
    <xf numFmtId="0" fontId="0" fillId="46" borderId="2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6" fillId="49" borderId="21" xfId="0" applyFont="1" applyFill="1" applyBorder="1" applyAlignment="1">
      <alignment horizontal="center" vertical="center"/>
    </xf>
    <xf numFmtId="0" fontId="29" fillId="0" borderId="20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20" xfId="0" applyFont="1" applyBorder="1" applyAlignment="1">
      <alignment horizontal="center"/>
    </xf>
    <xf numFmtId="0" fontId="26" fillId="0" borderId="21" xfId="0" applyFont="1" applyBorder="1"/>
    <xf numFmtId="0" fontId="26" fillId="0" borderId="22" xfId="0" applyFont="1" applyBorder="1"/>
    <xf numFmtId="0" fontId="26" fillId="0" borderId="23" xfId="0" applyFont="1" applyBorder="1"/>
    <xf numFmtId="0" fontId="29" fillId="0" borderId="22" xfId="0" applyFont="1" applyBorder="1" applyAlignment="1">
      <alignment horizontal="center"/>
    </xf>
    <xf numFmtId="0" fontId="26" fillId="49" borderId="22" xfId="0" applyFont="1" applyFill="1" applyBorder="1" applyAlignment="1">
      <alignment horizontal="center" vertical="center"/>
    </xf>
    <xf numFmtId="0" fontId="26" fillId="50" borderId="23" xfId="0" applyFont="1" applyFill="1" applyBorder="1" applyAlignment="1">
      <alignment horizontal="center"/>
    </xf>
    <xf numFmtId="0" fontId="26" fillId="0" borderId="22" xfId="0" applyFont="1" applyBorder="1" applyAlignment="1">
      <alignment horizontal="center"/>
    </xf>
    <xf numFmtId="0" fontId="29" fillId="0" borderId="24" xfId="0" applyFont="1" applyBorder="1" applyAlignment="1">
      <alignment horizontal="center"/>
    </xf>
    <xf numFmtId="0" fontId="29" fillId="0" borderId="25" xfId="0" applyFont="1" applyBorder="1" applyAlignment="1">
      <alignment horizontal="center"/>
    </xf>
    <xf numFmtId="0" fontId="26" fillId="51" borderId="23" xfId="0" applyFont="1" applyFill="1" applyBorder="1" applyAlignment="1">
      <alignment horizontal="center" vertical="center"/>
    </xf>
    <xf numFmtId="0" fontId="30" fillId="49" borderId="23" xfId="0" applyFont="1" applyFill="1" applyBorder="1" applyAlignment="1">
      <alignment horizontal="center" vertical="center"/>
    </xf>
    <xf numFmtId="0" fontId="26" fillId="52" borderId="23" xfId="0" applyFont="1" applyFill="1" applyBorder="1" applyAlignment="1">
      <alignment horizontal="center"/>
    </xf>
    <xf numFmtId="0" fontId="26" fillId="0" borderId="21" xfId="0" applyFont="1" applyFill="1" applyBorder="1" applyAlignment="1">
      <alignment horizontal="center" vertical="center"/>
    </xf>
    <xf numFmtId="0" fontId="0" fillId="53" borderId="20" xfId="0" applyFill="1" applyBorder="1" applyAlignment="1">
      <alignment horizontal="center"/>
    </xf>
    <xf numFmtId="0" fontId="26" fillId="0" borderId="23" xfId="0" applyFont="1" applyFill="1" applyBorder="1" applyAlignment="1">
      <alignment horizontal="center" vertical="center"/>
    </xf>
    <xf numFmtId="0" fontId="26" fillId="0" borderId="22" xfId="0" applyFont="1" applyFill="1" applyBorder="1" applyAlignment="1">
      <alignment horizontal="center" vertical="center"/>
    </xf>
    <xf numFmtId="0" fontId="26" fillId="54" borderId="23" xfId="0" applyFont="1" applyFill="1" applyBorder="1" applyAlignment="1">
      <alignment horizontal="center"/>
    </xf>
    <xf numFmtId="0" fontId="26" fillId="42" borderId="23" xfId="0" applyFont="1" applyFill="1" applyBorder="1" applyAlignment="1">
      <alignment horizontal="center" vertical="center"/>
    </xf>
    <xf numFmtId="0" fontId="26" fillId="55" borderId="23" xfId="0" applyFont="1" applyFill="1" applyBorder="1" applyAlignment="1">
      <alignment horizontal="center" vertical="center"/>
    </xf>
    <xf numFmtId="0" fontId="26" fillId="56" borderId="23" xfId="0" applyFont="1" applyFill="1" applyBorder="1" applyAlignment="1">
      <alignment horizontal="center"/>
    </xf>
    <xf numFmtId="0" fontId="26" fillId="55" borderId="22" xfId="0" applyFont="1" applyFill="1" applyBorder="1" applyAlignment="1">
      <alignment horizontal="center" vertical="center"/>
    </xf>
    <xf numFmtId="0" fontId="26" fillId="55" borderId="21" xfId="0" applyFont="1" applyFill="1" applyBorder="1" applyAlignment="1">
      <alignment horizontal="center" vertical="center"/>
    </xf>
    <xf numFmtId="0" fontId="30" fillId="55" borderId="23" xfId="0" applyFont="1" applyFill="1" applyBorder="1" applyAlignment="1">
      <alignment horizontal="center" vertical="center"/>
    </xf>
    <xf numFmtId="0" fontId="29" fillId="57" borderId="0" xfId="0" applyFont="1" applyFill="1"/>
    <xf numFmtId="0" fontId="26" fillId="57" borderId="0" xfId="0" applyFont="1" applyFill="1"/>
    <xf numFmtId="0" fontId="29" fillId="57" borderId="20" xfId="0" applyFont="1" applyFill="1" applyBorder="1" applyAlignment="1">
      <alignment horizontal="center"/>
    </xf>
    <xf numFmtId="0" fontId="26" fillId="57" borderId="21" xfId="0" applyFont="1" applyFill="1" applyBorder="1" applyAlignment="1">
      <alignment horizontal="center"/>
    </xf>
    <xf numFmtId="0" fontId="26" fillId="57" borderId="20" xfId="0" applyFont="1" applyFill="1" applyBorder="1" applyAlignment="1">
      <alignment horizontal="center"/>
    </xf>
    <xf numFmtId="0" fontId="26" fillId="57" borderId="21" xfId="0" applyFont="1" applyFill="1" applyBorder="1"/>
    <xf numFmtId="0" fontId="29" fillId="57" borderId="24" xfId="0" applyFont="1" applyFill="1" applyBorder="1" applyAlignment="1">
      <alignment horizontal="center"/>
    </xf>
    <xf numFmtId="0" fontId="29" fillId="57" borderId="25" xfId="0" applyFont="1" applyFill="1" applyBorder="1" applyAlignment="1">
      <alignment horizontal="center"/>
    </xf>
    <xf numFmtId="0" fontId="26" fillId="57" borderId="22" xfId="0" applyFont="1" applyFill="1" applyBorder="1"/>
    <xf numFmtId="0" fontId="26" fillId="57" borderId="23" xfId="0" applyFont="1" applyFill="1" applyBorder="1"/>
    <xf numFmtId="0" fontId="29" fillId="57" borderId="22" xfId="0" applyFont="1" applyFill="1" applyBorder="1" applyAlignment="1">
      <alignment horizontal="center"/>
    </xf>
    <xf numFmtId="0" fontId="26" fillId="58" borderId="23" xfId="0" applyFont="1" applyFill="1" applyBorder="1" applyAlignment="1">
      <alignment horizontal="center"/>
    </xf>
    <xf numFmtId="0" fontId="26" fillId="57" borderId="22" xfId="0" applyFont="1" applyFill="1" applyBorder="1" applyAlignment="1">
      <alignment horizontal="center"/>
    </xf>
    <xf numFmtId="0" fontId="0" fillId="57" borderId="0" xfId="0" applyFill="1"/>
    <xf numFmtId="0" fontId="0" fillId="57" borderId="20" xfId="0" applyFill="1" applyBorder="1" applyAlignment="1">
      <alignment horizontal="center"/>
    </xf>
    <xf numFmtId="0" fontId="26" fillId="59" borderId="21" xfId="0" applyFont="1" applyFill="1" applyBorder="1" applyAlignment="1">
      <alignment horizontal="center" vertical="center"/>
    </xf>
    <xf numFmtId="0" fontId="26" fillId="59" borderId="23" xfId="0" applyFont="1" applyFill="1" applyBorder="1" applyAlignment="1">
      <alignment horizontal="center" vertical="center"/>
    </xf>
    <xf numFmtId="0" fontId="26" fillId="59" borderId="22" xfId="0" applyFont="1" applyFill="1" applyBorder="1" applyAlignment="1">
      <alignment horizontal="center" vertical="center"/>
    </xf>
    <xf numFmtId="0" fontId="30" fillId="59" borderId="23" xfId="0" applyFont="1" applyFill="1" applyBorder="1" applyAlignment="1">
      <alignment horizontal="center" vertical="center"/>
    </xf>
  </cellXfs>
  <cellStyles count="43">
    <cellStyle name="20% - Accent1 2" xfId="1" xr:uid="{00000000-0005-0000-0000-000000000000}"/>
    <cellStyle name="20% - Accent2 2" xfId="2" xr:uid="{00000000-0005-0000-0000-000001000000}"/>
    <cellStyle name="20% - Accent3 2" xfId="3" xr:uid="{00000000-0005-0000-0000-000002000000}"/>
    <cellStyle name="20% - Accent4 2" xfId="4" xr:uid="{00000000-0005-0000-0000-000003000000}"/>
    <cellStyle name="20% - Accent5 2" xfId="5" xr:uid="{00000000-0005-0000-0000-000004000000}"/>
    <cellStyle name="20% - Accent6 2" xfId="6" xr:uid="{00000000-0005-0000-0000-000005000000}"/>
    <cellStyle name="40% - Accent1 2" xfId="7" xr:uid="{00000000-0005-0000-0000-000006000000}"/>
    <cellStyle name="40% - Accent2 2" xfId="8" xr:uid="{00000000-0005-0000-0000-000007000000}"/>
    <cellStyle name="40% - Accent3 2" xfId="9" xr:uid="{00000000-0005-0000-0000-000008000000}"/>
    <cellStyle name="40% - Accent4 2" xfId="10" xr:uid="{00000000-0005-0000-0000-000009000000}"/>
    <cellStyle name="40% - Accent5 2" xfId="11" xr:uid="{00000000-0005-0000-0000-00000A000000}"/>
    <cellStyle name="40% - Accent6 2" xfId="12" xr:uid="{00000000-0005-0000-0000-00000B000000}"/>
    <cellStyle name="60% - Accent1 2" xfId="13" xr:uid="{00000000-0005-0000-0000-00000C000000}"/>
    <cellStyle name="60% - Accent2 2" xfId="14" xr:uid="{00000000-0005-0000-0000-00000D000000}"/>
    <cellStyle name="60% - Accent3 2" xfId="15" xr:uid="{00000000-0005-0000-0000-00000E000000}"/>
    <cellStyle name="60% - Accent4 2" xfId="16" xr:uid="{00000000-0005-0000-0000-00000F000000}"/>
    <cellStyle name="60% - Accent5 2" xfId="17" xr:uid="{00000000-0005-0000-0000-000010000000}"/>
    <cellStyle name="60% - Accent6 2" xfId="18" xr:uid="{00000000-0005-0000-0000-000011000000}"/>
    <cellStyle name="Accent1 2" xfId="19" xr:uid="{00000000-0005-0000-0000-000012000000}"/>
    <cellStyle name="Accent2 2" xfId="20" xr:uid="{00000000-0005-0000-0000-000013000000}"/>
    <cellStyle name="Accent3 2" xfId="21" xr:uid="{00000000-0005-0000-0000-000014000000}"/>
    <cellStyle name="Accent4 2" xfId="22" xr:uid="{00000000-0005-0000-0000-000015000000}"/>
    <cellStyle name="Accent5 2" xfId="23" xr:uid="{00000000-0005-0000-0000-000016000000}"/>
    <cellStyle name="Accent6 2" xfId="24" xr:uid="{00000000-0005-0000-0000-000017000000}"/>
    <cellStyle name="Bad 2" xfId="25" xr:uid="{00000000-0005-0000-0000-000018000000}"/>
    <cellStyle name="Calculation 2" xfId="26" xr:uid="{00000000-0005-0000-0000-000019000000}"/>
    <cellStyle name="Check Cell 2" xfId="27" xr:uid="{00000000-0005-0000-0000-00001A000000}"/>
    <cellStyle name="Explanatory Text 2" xfId="28" xr:uid="{00000000-0005-0000-0000-00001B000000}"/>
    <cellStyle name="Good 2" xfId="29" xr:uid="{00000000-0005-0000-0000-00001C000000}"/>
    <cellStyle name="Heading 1 2" xfId="30" xr:uid="{00000000-0005-0000-0000-00001D000000}"/>
    <cellStyle name="Heading 2 2" xfId="31" xr:uid="{00000000-0005-0000-0000-00001E000000}"/>
    <cellStyle name="Heading 3 2" xfId="32" xr:uid="{00000000-0005-0000-0000-00001F000000}"/>
    <cellStyle name="Heading 4 2" xfId="33" xr:uid="{00000000-0005-0000-0000-000020000000}"/>
    <cellStyle name="Input 2" xfId="34" xr:uid="{00000000-0005-0000-0000-000021000000}"/>
    <cellStyle name="Linked Cell 2" xfId="35" xr:uid="{00000000-0005-0000-0000-000022000000}"/>
    <cellStyle name="Neutral 2" xfId="36" xr:uid="{00000000-0005-0000-0000-000023000000}"/>
    <cellStyle name="Normal" xfId="0" builtinId="0"/>
    <cellStyle name="Normal 2" xfId="37" xr:uid="{00000000-0005-0000-0000-000025000000}"/>
    <cellStyle name="Note 2" xfId="38" xr:uid="{00000000-0005-0000-0000-000026000000}"/>
    <cellStyle name="Output 2" xfId="39" xr:uid="{00000000-0005-0000-0000-000027000000}"/>
    <cellStyle name="Title" xfId="40" builtinId="15" customBuiltin="1"/>
    <cellStyle name="Total 2" xfId="41" xr:uid="{00000000-0005-0000-0000-000029000000}"/>
    <cellStyle name="Warning Text 2" xfId="42" xr:uid="{00000000-0005-0000-0000-00002A000000}"/>
  </cellStyles>
  <dxfs count="16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 patternType="solid">
          <bgColor indexed="43"/>
        </patternFill>
      </fill>
    </dxf>
    <dxf>
      <fill>
        <patternFill>
          <bgColor indexed="10"/>
        </patternFill>
      </fill>
    </dxf>
    <dxf>
      <fill>
        <patternFill patternType="solid">
          <bgColor indexed="43"/>
        </patternFill>
      </fill>
    </dxf>
    <dxf>
      <fill>
        <patternFill patternType="solid">
          <bgColor indexed="43"/>
        </patternFill>
      </fill>
    </dxf>
    <dxf>
      <fill>
        <patternFill>
          <bgColor indexed="50"/>
        </patternFill>
      </fill>
    </dxf>
    <dxf>
      <fill>
        <patternFill>
          <bgColor indexed="50"/>
        </patternFill>
      </fill>
    </dxf>
    <dxf>
      <fill>
        <patternFill>
          <bgColor indexed="50"/>
        </patternFill>
      </fill>
    </dxf>
    <dxf>
      <fill>
        <patternFill>
          <bgColor indexed="50"/>
        </patternFill>
      </fill>
    </dxf>
    <dxf>
      <fill>
        <patternFill>
          <bgColor indexed="50"/>
        </patternFill>
      </fill>
    </dxf>
    <dxf>
      <fill>
        <patternFill>
          <bgColor indexed="50"/>
        </patternFill>
      </fill>
    </dxf>
    <dxf>
      <fill>
        <patternFill>
          <bgColor indexed="50"/>
        </patternFill>
      </fill>
    </dxf>
    <dxf>
      <fill>
        <patternFill>
          <bgColor indexed="50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1" defaultTableStyle="TableStyleMedium2" defaultPivotStyle="PivotStyleLight16">
    <tableStyle name="Invisible" pivot="0" table="0" count="0" xr9:uid="{C0FE3A93-CBCE-42E3-8339-E0F3F464FE50}"/>
  </tableStyles>
  <colors>
    <mruColors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schemas.microsoft.com/search/local/ws/rest/v1'">
  <Schema ID="Schema1" Namespace="http://schemas.microsoft.com/search/local/ws/rest/v1">
    <xsd:schema xmlns:xsd="http://www.w3.org/2001/XMLSchema" xmlns:ns0="http://schemas.microsoft.com/search/local/ws/rest/v1" xmlns="" targetNamespace="http://schemas.microsoft.com/search/local/ws/rest/v1">
      <xsd:element nillable="true" name="Response">
        <xsd:complexType>
          <xsd:sequence minOccurs="0">
            <xsd:element minOccurs="0" nillable="true" type="xsd:string" name="Copyright" form="qualified"/>
            <xsd:element minOccurs="0" nillable="true" type="xsd:anyURI" name="BrandLogoUri" form="qualified"/>
            <xsd:element minOccurs="0" nillable="true" type="xsd:integer" name="StatusCode" form="qualified"/>
            <xsd:element minOccurs="0" nillable="true" type="xsd:string" name="StatusDescription" form="qualified"/>
            <xsd:element minOccurs="0" nillable="true" type="xsd:string" name="AuthenticationResultCode" form="qualified"/>
            <xsd:element minOccurs="0" nillable="true" type="xsd:string" name="TraceId" form="qualified"/>
            <xsd:element minOccurs="0" nillable="true" name="ResourceSets" form="qualified">
              <xsd:complexType>
                <xsd:sequence minOccurs="0">
                  <xsd:element minOccurs="0" nillable="true" name="ResourceSet" form="qualified">
                    <xsd:complexType>
                      <xsd:sequence minOccurs="0">
                        <xsd:element minOccurs="0" nillable="true" type="xsd:integer" name="EstimatedTotal" form="qualified"/>
                        <xsd:element minOccurs="0" nillable="true" name="Resources" form="qualified">
                          <xsd:complexType>
                            <xsd:sequence minOccurs="0">
                              <xsd:element minOccurs="0" nillable="true" name="Route" form="qualified">
                                <xsd:complexType>
                                  <xsd:sequence minOccurs="0">
                                    <xsd:element minOccurs="0" nillable="true" type="xsd:string" name="Id" form="qualified"/>
                                    <xsd:element minOccurs="0" nillable="true" name="BoundingBox" form="qualified">
                                      <xsd:complexType>
                                        <xsd:sequence minOccurs="0">
                                          <xsd:element minOccurs="0" nillable="true" type="xsd:double" name="SouthLatitude" form="qualified"/>
                                          <xsd:element minOccurs="0" nillable="true" type="xsd:double" name="WestLongitude" form="qualified"/>
                                          <xsd:element minOccurs="0" nillable="true" type="xsd:double" name="NorthLatitude" form="qualified"/>
                                          <xsd:element minOccurs="0" nillable="true" type="xsd:double" name="EastLongitude" form="qualified"/>
                                        </xsd:sequence>
                                      </xsd:complexType>
                                    </xsd:element>
                                    <xsd:element minOccurs="0" nillable="true" type="xsd:string" name="DistanceUnit" form="qualified"/>
                                    <xsd:element minOccurs="0" nillable="true" type="xsd:string" name="DurationUnit" form="qualified"/>
                                    <xsd:element minOccurs="0" nillable="true" type="xsd:double" name="TravelDistance" form="qualified"/>
                                    <xsd:element minOccurs="0" nillable="true" type="xsd:integer" name="TravelDuration" form="qualified"/>
                                    <xsd:element minOccurs="0" nillable="true" type="xsd:integer" name="TravelDurationTraffic" form="qualified"/>
                                    <xsd:element minOccurs="0" nillable="true" name="RouteLeg" form="qualified">
                                      <xsd:complexType>
                                        <xsd:sequence minOccurs="0">
                                          <xsd:element minOccurs="0" nillable="true" type="xsd:double" name="TravelDistance" form="qualified"/>
                                          <xsd:element minOccurs="0" nillable="true" type="xsd:integer" name="TravelDuration" form="qualified"/>
                                          <xsd:element minOccurs="0" nillable="true" type="xsd:integer" name="Cost" form="qualified"/>
                                          <xsd:element minOccurs="0" nillable="true" name="ActualStart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ActualEnd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maxOccurs="unbounded" nillable="true" name="ItineraryItem" form="qualified">
                                            <xsd:complexType>
                                              <xsd:sequence minOccurs="0" maxOccurs="unbounded">
                                                <xsd:element minOccurs="0" nillable="true" type="xsd:string" name="TravelMode" form="qualified"/>
                                                <xsd:element minOccurs="0" nillable="true" type="xsd:double" name="TravelDistance" form="qualified"/>
                                                <xsd:element minOccurs="0" nillable="true" type="xsd:integer" name="TravelDuration" form="qualified"/>
                                                <xsd:element minOccurs="0" nillable="true" name="ManeuverPoint" form="qualified">
                                                  <xsd:complexType>
                                                    <xsd:sequence minOccurs="0">
                                                      <xsd:element minOccurs="0" nillable="true" type="xsd:double" name="Latitude" form="qualified"/>
                                                      <xsd:element minOccurs="0" nillable="true" type="xsd:double" name="Longitu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Instruction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maneuverType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type="xsd:string" name="CompassDirection" form="qualified"/>
                                                <xsd:element minOccurs="0" nillable="true" name="Warning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warningType" form="unqualified" type="xsd:string"/>
                                                        <xsd:attribute name="severity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maxOccurs="unbounded" nillable="true" name="Detail" form="qualified">
                                                  <xsd:complexType>
                                                    <xsd:sequence minOccurs="0" maxOccurs="unbounded">
                                                      <xsd:element minOccurs="0" nillable="true" type="xsd:string" name="ManeuverType" form="qualified"/>
                                                      <xsd:element minOccurs="0" nillable="true" type="xsd:integer" name="StartPathIndex" form="qualified"/>
                                                      <xsd:element minOccurs="0" nillable="true" type="xsd:integer" name="EndPathIndex" form="qualified"/>
                                                      <xsd:element minOccurs="0" nillable="true" type="xsd:string" name="Name" form="qualified"/>
                                                      <xsd:element minOccurs="0" nillable="true" type="xsd:integer" name="CompassDegrees" form="qualified"/>
                                                      <xsd:element minOccurs="0" nillable="true" type="xsd:string" name="Mode" form="qualified"/>
                                                      <xsd:element minOccurs="0" nillable="true" type="xsd:integer" name="PreviousEntityId" form="qualified"/>
                                                      <xsd:element minOccurs="0" nillable="true" type="xsd:integer" name="NextEntityId" form="qualified"/>
                                                      <xsd:element minOccurs="0" nillable="true" type="xsd:string" name="RoadType" form="qualified"/>
                                                      <xsd:element minOccurs="0" nillable="true" name="RoadShieldRequestParameters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Bucket" form="qualified"/>
                                                            <xsd:element minOccurs="0" nillable="true" name="Shield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RoadShieldType" form="qualified"/>
                                                                  <xsd:element minOccurs="0" nillable="true" type="xsd:string" name="Label" form="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unbounded" nillable="true" type="xsd:string" name="LocationCo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Exit" form="qualified"/>
                                                <xsd:element minOccurs="0" nillable="true" type="xsd:string" name="TollZone" form="qualified"/>
                                                <xsd:element minOccurs="0" nillable="true" type="xsd:string" name="TransitTerminus" form="qualified"/>
                                                <xsd:element minOccurs="0" nillable="true" type="xsd:integer" name="TripId" form="qualified"/>
                                                <xsd:element minOccurs="0" nillable="true" type="xsd:string" name="IconType" form="qualified"/>
                                                <xsd:element minOccurs="0" nillable="true" type="xsd:dateTime" name="Time" form="qualified"/>
                                                <xsd:element minOccurs="0" nillable="true" type="xsd:integer" name="TransitStopId" form="qualified"/>
                                                <xsd:element minOccurs="0" nillable="true" type="xsd:string" name="TowardsRoadName" form="qualified"/>
                                                <xsd:element minOccurs="0" nillable="true" type="xsd:string" name="SideOfStreet" form="qualified"/>
                                                <xsd:element minOccurs="0" maxOccurs="unbounded" nillable="true" type="xsd:string" name="Sign" form="qualified"/>
                                                <xsd:element minOccurs="0" maxOccurs="unbounded" nillable="true" type="xsd:string" name="Hint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type="xsd:dateTime" name="StartTime" form="qualified"/>
                                          <xsd:element minOccurs="0" nillable="true" type="xsd:dateTime" name="EndTime" form="qualified"/>
                                          <xsd:element minOccurs="0" nillable="true" type="xsd:string" name="Description" form="qualified"/>
                                          <xsd:element minOccurs="0" nillable="true" type="xsd:string" name="RouteRegion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ponse_Map" RootElement="Response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3"/>
  <sheetViews>
    <sheetView zoomScale="90" zoomScaleNormal="90" workbookViewId="0">
      <selection activeCell="C26" sqref="C26"/>
    </sheetView>
  </sheetViews>
  <sheetFormatPr baseColWidth="10" defaultColWidth="8.83203125" defaultRowHeight="15" x14ac:dyDescent="0.2"/>
  <cols>
    <col min="1" max="1" width="20.5" bestFit="1" customWidth="1"/>
    <col min="2" max="2" width="31.5" bestFit="1" customWidth="1"/>
    <col min="3" max="3" width="109.33203125" bestFit="1" customWidth="1"/>
    <col min="4" max="4" width="54.6640625" bestFit="1" customWidth="1"/>
  </cols>
  <sheetData>
    <row r="1" spans="1:4" s="6" customFormat="1" x14ac:dyDescent="0.2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">
      <c r="A2" s="4" t="s">
        <v>4</v>
      </c>
      <c r="B2" s="2" t="s">
        <v>5</v>
      </c>
      <c r="C2" s="55" t="s">
        <v>40</v>
      </c>
      <c r="D2" s="2" t="s">
        <v>32</v>
      </c>
    </row>
    <row r="3" spans="1:4" x14ac:dyDescent="0.2">
      <c r="C3" s="56"/>
    </row>
    <row r="4" spans="1:4" x14ac:dyDescent="0.2">
      <c r="A4" s="5" t="s">
        <v>6</v>
      </c>
      <c r="B4" s="3" t="s">
        <v>25</v>
      </c>
      <c r="C4" s="57">
        <v>1</v>
      </c>
      <c r="D4" s="3" t="s">
        <v>26</v>
      </c>
    </row>
    <row r="5" spans="1:4" x14ac:dyDescent="0.2">
      <c r="A5" s="2"/>
      <c r="B5" s="2" t="s">
        <v>7</v>
      </c>
      <c r="C5" s="55">
        <v>8</v>
      </c>
      <c r="D5" s="2" t="s">
        <v>24</v>
      </c>
    </row>
    <row r="6" spans="1:4" x14ac:dyDescent="0.2">
      <c r="C6" s="56"/>
    </row>
    <row r="7" spans="1:4" x14ac:dyDescent="0.2">
      <c r="A7" s="5" t="s">
        <v>8</v>
      </c>
      <c r="B7" s="3" t="s">
        <v>37</v>
      </c>
      <c r="C7" s="57" t="s">
        <v>65</v>
      </c>
      <c r="D7" s="3" t="s">
        <v>33</v>
      </c>
    </row>
    <row r="8" spans="1:4" x14ac:dyDescent="0.2">
      <c r="A8" s="2"/>
      <c r="B8" s="2" t="s">
        <v>38</v>
      </c>
      <c r="C8" s="55" t="s">
        <v>11</v>
      </c>
      <c r="D8" s="2"/>
    </row>
    <row r="9" spans="1:4" x14ac:dyDescent="0.2">
      <c r="A9" s="2"/>
      <c r="B9" s="2" t="s">
        <v>9</v>
      </c>
      <c r="C9" s="55" t="s">
        <v>10</v>
      </c>
      <c r="D9" s="2" t="s">
        <v>34</v>
      </c>
    </row>
    <row r="10" spans="1:4" x14ac:dyDescent="0.2">
      <c r="A10" s="2"/>
      <c r="B10" s="2" t="s">
        <v>11</v>
      </c>
      <c r="C10" s="55">
        <v>50</v>
      </c>
      <c r="D10" s="2" t="s">
        <v>41</v>
      </c>
    </row>
    <row r="11" spans="1:4" x14ac:dyDescent="0.2">
      <c r="C11" s="56"/>
    </row>
    <row r="12" spans="1:4" x14ac:dyDescent="0.2">
      <c r="A12" s="5" t="s">
        <v>12</v>
      </c>
      <c r="B12" s="3" t="s">
        <v>13</v>
      </c>
      <c r="C12" s="57">
        <v>2</v>
      </c>
      <c r="D12" s="3"/>
    </row>
    <row r="13" spans="1:4" x14ac:dyDescent="0.2">
      <c r="C13" s="56"/>
    </row>
    <row r="14" spans="1:4" x14ac:dyDescent="0.2">
      <c r="A14" s="5" t="s">
        <v>14</v>
      </c>
      <c r="B14" s="3" t="s">
        <v>35</v>
      </c>
      <c r="C14" s="57" t="s">
        <v>36</v>
      </c>
      <c r="D14" s="3"/>
    </row>
    <row r="15" spans="1:4" x14ac:dyDescent="0.2">
      <c r="A15" s="2"/>
      <c r="B15" s="2" t="s">
        <v>16</v>
      </c>
      <c r="C15" s="55" t="s">
        <v>17</v>
      </c>
      <c r="D15" s="2"/>
    </row>
    <row r="16" spans="1:4" x14ac:dyDescent="0.2">
      <c r="A16" s="2"/>
      <c r="B16" s="2" t="s">
        <v>28</v>
      </c>
      <c r="C16" s="55" t="s">
        <v>15</v>
      </c>
      <c r="D16" s="2" t="s">
        <v>30</v>
      </c>
    </row>
    <row r="17" spans="1:4" x14ac:dyDescent="0.2">
      <c r="C17" s="56"/>
    </row>
    <row r="18" spans="1:4" x14ac:dyDescent="0.2">
      <c r="A18" s="5" t="s">
        <v>18</v>
      </c>
      <c r="B18" s="3" t="s">
        <v>19</v>
      </c>
      <c r="C18" s="57" t="s">
        <v>31</v>
      </c>
      <c r="D18" s="3"/>
    </row>
    <row r="19" spans="1:4" x14ac:dyDescent="0.2">
      <c r="A19" s="2"/>
      <c r="B19" s="2" t="s">
        <v>20</v>
      </c>
      <c r="C19" s="55" t="s">
        <v>39</v>
      </c>
      <c r="D19" s="2"/>
    </row>
    <row r="20" spans="1:4" x14ac:dyDescent="0.2">
      <c r="C20" s="56"/>
    </row>
    <row r="21" spans="1:4" x14ac:dyDescent="0.2">
      <c r="A21" s="5" t="s">
        <v>21</v>
      </c>
      <c r="B21" s="3" t="s">
        <v>22</v>
      </c>
      <c r="C21" s="57" t="s">
        <v>15</v>
      </c>
      <c r="D21" s="3"/>
    </row>
    <row r="22" spans="1:4" x14ac:dyDescent="0.2">
      <c r="A22" s="2"/>
      <c r="B22" s="2" t="s">
        <v>29</v>
      </c>
      <c r="C22" s="55" t="s">
        <v>27</v>
      </c>
      <c r="D22" s="2"/>
    </row>
    <row r="23" spans="1:4" x14ac:dyDescent="0.2">
      <c r="A23" s="2"/>
      <c r="B23" s="2" t="s">
        <v>23</v>
      </c>
      <c r="C23" s="55">
        <v>60</v>
      </c>
      <c r="D23" s="2" t="str">
        <f>CONCATENATE("Recommendation: At least ", 60 * CEILING(C5 * C5 * C5 / 100000, 1)," seconds")</f>
        <v>Recommendation: At least 60 seconds</v>
      </c>
    </row>
  </sheetData>
  <phoneticPr fontId="3" type="noConversion"/>
  <dataValidations count="13">
    <dataValidation type="list" allowBlank="1" showInputMessage="1" showErrorMessage="1" sqref="C7" xr:uid="{FF219175-F7E2-44FB-9615-AD7666F2B65A}">
      <formula1>"Manual entry, Euclidian distances, Rounded Euclidian distances, Rectilinear (Manhattan) distances, Bird flight distances (km), Bird flight distances (miles), Bing Maps driving distances (km), Bing Maps driving distances (miles)"</formula1>
    </dataValidation>
    <dataValidation type="list" allowBlank="1" showInputMessage="1" showErrorMessage="1" sqref="C9" xr:uid="{BCB98C96-5A42-4C2D-9947-3D614DB9B28F}">
      <formula1>"Shortest, Fastest, Fastest - Real Time Traffic"</formula1>
    </dataValidation>
    <dataValidation type="list" allowBlank="1" showInputMessage="1" showErrorMessage="1" sqref="C14" xr:uid="{B0DB6899-03F6-45A8-9B9F-16092044E765}">
      <formula1>"No, Yes - only once at the end, Yes - may do so multiple times"</formula1>
    </dataValidation>
    <dataValidation type="list" allowBlank="1" showInputMessage="1" showErrorMessage="1" sqref="C15" xr:uid="{2CD1E276-1A6F-4948-8C75-5D10C6E5497B}">
      <formula1>"Hard, Soft"</formula1>
    </dataValidation>
    <dataValidation type="list" allowBlank="1" showInputMessage="1" showErrorMessage="1" sqref="C16 C21:C22" xr:uid="{3B0AA554-AF45-4F53-ACDF-4EDBAF28DF9D}">
      <formula1>"Yes, No"</formula1>
    </dataValidation>
    <dataValidation type="list" allowBlank="1" showInputMessage="1" showErrorMessage="1" sqref="C18" xr:uid="{6D6B3A4D-0D9B-4824-A6C2-5C9F06469F61}">
      <formula1>"Blank, Bing Maps"</formula1>
    </dataValidation>
    <dataValidation type="list" allowBlank="1" showInputMessage="1" showErrorMessage="1" sqref="C19" xr:uid="{95343ACB-B4D8-4AA3-AAA8-C2E8FC3E78E6}">
      <formula1>"Blank, Location IDs, Location names, (Time window start;Time window end), Service time, Pickup amount, Delivery amount, (Pickup amount; Delivery amount), Profit"</formula1>
    </dataValidation>
    <dataValidation type="list" allowBlank="1" showInputMessage="1" showErrorMessage="1" sqref="C8" xr:uid="{6E4B1BAA-1ADE-4A7A-965C-8F12A3FB8221}">
      <formula1>"Manual entry, Average vehicle speed, Bing Maps driving durations"</formula1>
    </dataValidation>
    <dataValidation type="whole" allowBlank="1" showInputMessage="1" showErrorMessage="1" error="Please enter an integer from 1 to 20" sqref="C4" xr:uid="{925FD42D-C688-4231-87EB-4E033E3F50ED}">
      <formula1>1</formula1>
      <formula2>20</formula2>
    </dataValidation>
    <dataValidation type="whole" allowBlank="1" showInputMessage="1" showErrorMessage="1" error="Please enter an integer from 5 to 200" sqref="C5" xr:uid="{E49E6F0E-1541-4DAF-BF9D-0AD3BC67B818}">
      <formula1>5</formula1>
      <formula2>200</formula2>
    </dataValidation>
    <dataValidation type="decimal" operator="greaterThan" allowBlank="1" showInputMessage="1" showErrorMessage="1" error="Please enter a positive value" sqref="C10" xr:uid="{3E54A3A3-7D74-4532-B70E-743772496F87}">
      <formula1>0.0001</formula1>
    </dataValidation>
    <dataValidation type="whole" allowBlank="1" showInputMessage="1" showErrorMessage="1" error="Please enter an integer from 1 to 10" sqref="C12" xr:uid="{08AFA0C6-D53D-42BC-A97C-671ACBE09AF9}">
      <formula1>1</formula1>
      <formula2>10</formula2>
    </dataValidation>
    <dataValidation type="decimal" operator="greaterThanOrEqual" allowBlank="1" showInputMessage="1" showErrorMessage="1" error="Please enter a value greater than or equal to 10 seconds." sqref="C23" xr:uid="{2B5F2F2B-F121-447F-83B6-A8DC67D0A08B}">
      <formula1>10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A649E-911C-B245-9892-63B6AF93E085}">
  <sheetPr codeName="Sheet2"/>
  <dimension ref="A1:L10"/>
  <sheetViews>
    <sheetView workbookViewId="0">
      <selection activeCell="D28" sqref="D28"/>
    </sheetView>
  </sheetViews>
  <sheetFormatPr baseColWidth="10" defaultRowHeight="15" x14ac:dyDescent="0.2"/>
  <cols>
    <col min="1" max="2" width="9.83203125" bestFit="1" customWidth="1"/>
    <col min="3" max="3" width="7.33203125" bestFit="1" customWidth="1"/>
    <col min="4" max="4" width="10.6640625" bestFit="1" customWidth="1"/>
    <col min="5" max="5" width="12.1640625" bestFit="1" customWidth="1"/>
    <col min="6" max="6" width="15.33203125" bestFit="1" customWidth="1"/>
    <col min="7" max="7" width="14.83203125" bestFit="1" customWidth="1"/>
    <col min="8" max="8" width="13.83203125" bestFit="1" customWidth="1"/>
    <col min="10" max="10" width="12.6640625" bestFit="1" customWidth="1"/>
    <col min="11" max="11" width="14" bestFit="1" customWidth="1"/>
    <col min="12" max="12" width="5.5" bestFit="1" customWidth="1"/>
  </cols>
  <sheetData>
    <row r="1" spans="1:12" x14ac:dyDescent="0.2">
      <c r="A1" s="8" t="s">
        <v>42</v>
      </c>
      <c r="B1" s="20" t="s">
        <v>43</v>
      </c>
      <c r="C1" s="20" t="s">
        <v>44</v>
      </c>
      <c r="D1" s="20" t="s">
        <v>45</v>
      </c>
      <c r="E1" s="20" t="s">
        <v>46</v>
      </c>
      <c r="F1" s="20" t="s">
        <v>47</v>
      </c>
      <c r="G1" s="20" t="s">
        <v>48</v>
      </c>
      <c r="H1" s="20" t="s">
        <v>49</v>
      </c>
      <c r="I1" s="20" t="s">
        <v>50</v>
      </c>
      <c r="J1" s="20" t="s">
        <v>51</v>
      </c>
      <c r="K1" s="20" t="s">
        <v>52</v>
      </c>
      <c r="L1" s="20" t="s">
        <v>53</v>
      </c>
    </row>
    <row r="2" spans="1:12" ht="16" thickBot="1" x14ac:dyDescent="0.25">
      <c r="A2" s="9">
        <v>0</v>
      </c>
      <c r="B2" s="21" t="s">
        <v>54</v>
      </c>
      <c r="C2" s="21"/>
      <c r="D2" s="26">
        <v>39.099699999999999</v>
      </c>
      <c r="E2" s="26">
        <v>-94.578599999999994</v>
      </c>
      <c r="F2" s="31">
        <v>0</v>
      </c>
      <c r="G2" s="31">
        <v>0.99930555555555556</v>
      </c>
      <c r="H2" s="37" t="s">
        <v>55</v>
      </c>
      <c r="I2" s="38">
        <v>0</v>
      </c>
      <c r="J2" s="37">
        <v>0</v>
      </c>
      <c r="K2" s="37">
        <v>0</v>
      </c>
      <c r="L2" s="37">
        <v>0</v>
      </c>
    </row>
    <row r="3" spans="1:12" ht="17" thickTop="1" thickBot="1" x14ac:dyDescent="0.25">
      <c r="A3" s="10">
        <v>1</v>
      </c>
      <c r="B3" s="22" t="s">
        <v>56</v>
      </c>
      <c r="C3" s="22"/>
      <c r="D3" s="27">
        <v>47.606200000000001</v>
      </c>
      <c r="E3" s="27">
        <v>-122.3321</v>
      </c>
      <c r="F3" s="32">
        <v>0</v>
      </c>
      <c r="G3" s="32">
        <v>0.99930555555555556</v>
      </c>
      <c r="H3" s="22" t="s">
        <v>57</v>
      </c>
      <c r="I3" s="36">
        <v>1.7361111111111112E-2</v>
      </c>
      <c r="J3" s="22">
        <v>45</v>
      </c>
      <c r="K3" s="22">
        <v>0</v>
      </c>
      <c r="L3" s="22">
        <v>180</v>
      </c>
    </row>
    <row r="4" spans="1:12" ht="17" thickTop="1" thickBot="1" x14ac:dyDescent="0.25">
      <c r="A4" s="14">
        <v>2</v>
      </c>
      <c r="B4" s="23" t="s">
        <v>58</v>
      </c>
      <c r="C4" s="23"/>
      <c r="D4" s="28">
        <v>34.993099999999998</v>
      </c>
      <c r="E4" s="28">
        <v>-113.02809999999999</v>
      </c>
      <c r="F4" s="33">
        <v>0</v>
      </c>
      <c r="G4" s="33">
        <v>0.99930555555555556</v>
      </c>
      <c r="H4" s="23" t="s">
        <v>57</v>
      </c>
      <c r="I4" s="36">
        <v>1.7361111111111112E-2</v>
      </c>
      <c r="J4" s="23">
        <v>0</v>
      </c>
      <c r="K4" s="23">
        <v>60</v>
      </c>
      <c r="L4" s="23">
        <v>220</v>
      </c>
    </row>
    <row r="5" spans="1:12" ht="17" thickTop="1" thickBot="1" x14ac:dyDescent="0.25">
      <c r="A5" s="14">
        <v>3</v>
      </c>
      <c r="B5" s="24" t="s">
        <v>59</v>
      </c>
      <c r="C5" s="24"/>
      <c r="D5" s="29">
        <v>45.783299999999997</v>
      </c>
      <c r="E5" s="29">
        <v>-108.50069999999999</v>
      </c>
      <c r="F5" s="34">
        <v>0</v>
      </c>
      <c r="G5" s="34">
        <v>0.99930555555555556</v>
      </c>
      <c r="H5" s="24" t="s">
        <v>57</v>
      </c>
      <c r="I5" s="36">
        <v>1.7361111111111112E-2</v>
      </c>
      <c r="J5" s="24">
        <v>55</v>
      </c>
      <c r="K5" s="24">
        <v>0</v>
      </c>
      <c r="L5" s="24">
        <v>180</v>
      </c>
    </row>
    <row r="6" spans="1:12" ht="17" thickTop="1" thickBot="1" x14ac:dyDescent="0.25">
      <c r="A6" s="14">
        <v>4</v>
      </c>
      <c r="B6" s="23" t="s">
        <v>60</v>
      </c>
      <c r="C6" s="23"/>
      <c r="D6" s="28">
        <v>39.767800000000001</v>
      </c>
      <c r="E6" s="28">
        <v>-90.556299999999993</v>
      </c>
      <c r="F6" s="33">
        <v>0</v>
      </c>
      <c r="G6" s="33">
        <v>0.99930555555555556</v>
      </c>
      <c r="H6" s="23" t="s">
        <v>57</v>
      </c>
      <c r="I6" s="36">
        <v>1.7361111111111112E-2</v>
      </c>
      <c r="J6" s="23">
        <v>0</v>
      </c>
      <c r="K6" s="23">
        <v>50</v>
      </c>
      <c r="L6" s="23">
        <v>220</v>
      </c>
    </row>
    <row r="7" spans="1:12" ht="17" thickTop="1" thickBot="1" x14ac:dyDescent="0.25">
      <c r="A7" s="14">
        <v>5</v>
      </c>
      <c r="B7" s="24" t="s">
        <v>61</v>
      </c>
      <c r="C7" s="24"/>
      <c r="D7" s="29">
        <v>33.0002</v>
      </c>
      <c r="E7" s="29">
        <v>-87.6297</v>
      </c>
      <c r="F7" s="34">
        <v>0</v>
      </c>
      <c r="G7" s="34">
        <v>0.99930555555555556</v>
      </c>
      <c r="H7" s="24" t="s">
        <v>57</v>
      </c>
      <c r="I7" s="36">
        <v>1.7361111111111112E-2</v>
      </c>
      <c r="J7" s="24">
        <v>30</v>
      </c>
      <c r="K7" s="24">
        <v>0</v>
      </c>
      <c r="L7" s="24">
        <v>180</v>
      </c>
    </row>
    <row r="8" spans="1:12" ht="17" thickTop="1" thickBot="1" x14ac:dyDescent="0.25">
      <c r="A8" s="14">
        <v>6</v>
      </c>
      <c r="B8" s="23" t="s">
        <v>62</v>
      </c>
      <c r="C8" s="23"/>
      <c r="D8" s="28">
        <v>27.653700000000001</v>
      </c>
      <c r="E8" s="28">
        <v>-98.575199999999995</v>
      </c>
      <c r="F8" s="33">
        <v>0</v>
      </c>
      <c r="G8" s="33">
        <v>0.99930555555555556</v>
      </c>
      <c r="H8" s="23" t="s">
        <v>57</v>
      </c>
      <c r="I8" s="36">
        <v>1.7361111111111112E-2</v>
      </c>
      <c r="J8" s="23">
        <v>0</v>
      </c>
      <c r="K8" s="23">
        <v>45</v>
      </c>
      <c r="L8" s="23">
        <v>220</v>
      </c>
    </row>
    <row r="9" spans="1:12" ht="17" thickTop="1" thickBot="1" x14ac:dyDescent="0.25">
      <c r="A9" s="14">
        <v>7</v>
      </c>
      <c r="B9" s="24" t="s">
        <v>63</v>
      </c>
      <c r="C9" s="24"/>
      <c r="D9" s="29">
        <v>38.907200000000003</v>
      </c>
      <c r="E9" s="29">
        <v>-77.036900000000003</v>
      </c>
      <c r="F9" s="34">
        <v>0</v>
      </c>
      <c r="G9" s="34">
        <v>0.99930555555555556</v>
      </c>
      <c r="H9" s="24" t="s">
        <v>57</v>
      </c>
      <c r="I9" s="36">
        <v>1.7361111111111112E-2</v>
      </c>
      <c r="J9" s="24">
        <v>50</v>
      </c>
      <c r="K9" s="24">
        <v>0</v>
      </c>
      <c r="L9" s="24">
        <v>180</v>
      </c>
    </row>
    <row r="10" spans="1:12" ht="16" thickTop="1" x14ac:dyDescent="0.2">
      <c r="A10" s="13">
        <v>8</v>
      </c>
      <c r="B10" s="25" t="s">
        <v>64</v>
      </c>
      <c r="C10" s="25"/>
      <c r="D10" s="30">
        <v>48.239100000000001</v>
      </c>
      <c r="E10" s="30">
        <v>-102.1057</v>
      </c>
      <c r="F10" s="35">
        <v>0</v>
      </c>
      <c r="G10" s="35">
        <v>0.99930555555555556</v>
      </c>
      <c r="H10" s="25" t="s">
        <v>57</v>
      </c>
      <c r="I10" s="36">
        <v>1.7361111111111112E-2</v>
      </c>
      <c r="J10" s="25">
        <v>0</v>
      </c>
      <c r="K10" s="25">
        <v>55</v>
      </c>
      <c r="L10" s="25">
        <v>220</v>
      </c>
    </row>
  </sheetData>
  <conditionalFormatting sqref="A2">
    <cfRule type="expression" dxfId="163" priority="9" stopIfTrue="1">
      <formula>ISBLANK(A2)</formula>
    </cfRule>
  </conditionalFormatting>
  <conditionalFormatting sqref="B2">
    <cfRule type="expression" dxfId="162" priority="10" stopIfTrue="1">
      <formula>ISBLANK(B2)</formula>
    </cfRule>
  </conditionalFormatting>
  <conditionalFormatting sqref="F2">
    <cfRule type="cellIs" dxfId="161" priority="11" stopIfTrue="1" operator="greaterThan">
      <formula>G2-$I$2</formula>
    </cfRule>
  </conditionalFormatting>
  <conditionalFormatting sqref="G2">
    <cfRule type="cellIs" dxfId="160" priority="12" stopIfTrue="1" operator="lessThan">
      <formula>F2+$I$2</formula>
    </cfRule>
  </conditionalFormatting>
  <conditionalFormatting sqref="I2">
    <cfRule type="cellIs" dxfId="159" priority="13" stopIfTrue="1" operator="greaterThan">
      <formula>G2-F2 + 0.0001</formula>
    </cfRule>
  </conditionalFormatting>
  <conditionalFormatting sqref="A3">
    <cfRule type="expression" dxfId="158" priority="14" stopIfTrue="1">
      <formula>ISBLANK(A3)</formula>
    </cfRule>
  </conditionalFormatting>
  <conditionalFormatting sqref="B3">
    <cfRule type="expression" dxfId="157" priority="15" stopIfTrue="1">
      <formula>ISBLANK(B3)</formula>
    </cfRule>
  </conditionalFormatting>
  <conditionalFormatting sqref="F3">
    <cfRule type="cellIs" dxfId="156" priority="16" stopIfTrue="1" operator="greaterThan">
      <formula>G3-$I$3</formula>
    </cfRule>
  </conditionalFormatting>
  <conditionalFormatting sqref="G3">
    <cfRule type="cellIs" dxfId="155" priority="17" stopIfTrue="1" operator="lessThan">
      <formula>F3+$I$3</formula>
    </cfRule>
  </conditionalFormatting>
  <conditionalFormatting sqref="H3">
    <cfRule type="cellIs" dxfId="154" priority="18" stopIfTrue="1" operator="equal">
      <formula>"May be visited"</formula>
    </cfRule>
    <cfRule type="cellIs" dxfId="153" priority="19" stopIfTrue="1" operator="equal">
      <formula>"Don't visit"</formula>
    </cfRule>
  </conditionalFormatting>
  <conditionalFormatting sqref="A4">
    <cfRule type="expression" dxfId="152" priority="21" stopIfTrue="1">
      <formula>ISBLANK(A4)</formula>
    </cfRule>
  </conditionalFormatting>
  <conditionalFormatting sqref="B4">
    <cfRule type="expression" dxfId="151" priority="22" stopIfTrue="1">
      <formula>ISBLANK(B4)</formula>
    </cfRule>
  </conditionalFormatting>
  <conditionalFormatting sqref="F4">
    <cfRule type="cellIs" dxfId="150" priority="23" stopIfTrue="1" operator="greaterThan">
      <formula>G4-$I$4</formula>
    </cfRule>
  </conditionalFormatting>
  <conditionalFormatting sqref="G4">
    <cfRule type="cellIs" dxfId="149" priority="24" stopIfTrue="1" operator="lessThan">
      <formula>F4+$I$4</formula>
    </cfRule>
  </conditionalFormatting>
  <conditionalFormatting sqref="H4">
    <cfRule type="cellIs" dxfId="148" priority="25" stopIfTrue="1" operator="equal">
      <formula>"May be visited"</formula>
    </cfRule>
    <cfRule type="cellIs" dxfId="147" priority="26" stopIfTrue="1" operator="equal">
      <formula>"Don't visit"</formula>
    </cfRule>
  </conditionalFormatting>
  <conditionalFormatting sqref="A5">
    <cfRule type="expression" dxfId="146" priority="28" stopIfTrue="1">
      <formula>ISBLANK(A5)</formula>
    </cfRule>
  </conditionalFormatting>
  <conditionalFormatting sqref="B5">
    <cfRule type="expression" dxfId="145" priority="29" stopIfTrue="1">
      <formula>ISBLANK(B5)</formula>
    </cfRule>
  </conditionalFormatting>
  <conditionalFormatting sqref="F5">
    <cfRule type="cellIs" dxfId="144" priority="30" stopIfTrue="1" operator="greaterThan">
      <formula>G5-$I$5</formula>
    </cfRule>
  </conditionalFormatting>
  <conditionalFormatting sqref="G5">
    <cfRule type="cellIs" dxfId="143" priority="31" stopIfTrue="1" operator="lessThan">
      <formula>F5+$I$5</formula>
    </cfRule>
  </conditionalFormatting>
  <conditionalFormatting sqref="H5">
    <cfRule type="cellIs" dxfId="142" priority="32" stopIfTrue="1" operator="equal">
      <formula>"May be visited"</formula>
    </cfRule>
  </conditionalFormatting>
  <conditionalFormatting sqref="H5">
    <cfRule type="cellIs" dxfId="141" priority="33" stopIfTrue="1" operator="equal">
      <formula>"Don't visit"</formula>
    </cfRule>
  </conditionalFormatting>
  <conditionalFormatting sqref="A6">
    <cfRule type="expression" dxfId="140" priority="35" stopIfTrue="1">
      <formula>ISBLANK(A6)</formula>
    </cfRule>
  </conditionalFormatting>
  <conditionalFormatting sqref="B6">
    <cfRule type="expression" dxfId="139" priority="36" stopIfTrue="1">
      <formula>ISBLANK(B6)</formula>
    </cfRule>
  </conditionalFormatting>
  <conditionalFormatting sqref="F6">
    <cfRule type="cellIs" dxfId="138" priority="37" stopIfTrue="1" operator="greaterThan">
      <formula>G6-$I$6</formula>
    </cfRule>
  </conditionalFormatting>
  <conditionalFormatting sqref="G6">
    <cfRule type="cellIs" dxfId="137" priority="38" stopIfTrue="1" operator="lessThan">
      <formula>F6+$I$6</formula>
    </cfRule>
  </conditionalFormatting>
  <conditionalFormatting sqref="H6">
    <cfRule type="cellIs" dxfId="136" priority="39" stopIfTrue="1" operator="equal">
      <formula>"May be visited"</formula>
    </cfRule>
  </conditionalFormatting>
  <conditionalFormatting sqref="H6">
    <cfRule type="cellIs" dxfId="135" priority="40" stopIfTrue="1" operator="equal">
      <formula>"Don't visit"</formula>
    </cfRule>
  </conditionalFormatting>
  <conditionalFormatting sqref="A7">
    <cfRule type="expression" dxfId="134" priority="42" stopIfTrue="1">
      <formula>ISBLANK(A7)</formula>
    </cfRule>
  </conditionalFormatting>
  <conditionalFormatting sqref="B7">
    <cfRule type="expression" dxfId="133" priority="43" stopIfTrue="1">
      <formula>ISBLANK(B7)</formula>
    </cfRule>
  </conditionalFormatting>
  <conditionalFormatting sqref="F7">
    <cfRule type="cellIs" dxfId="132" priority="44" stopIfTrue="1" operator="greaterThan">
      <formula>G7-$I$7</formula>
    </cfRule>
  </conditionalFormatting>
  <conditionalFormatting sqref="G7">
    <cfRule type="cellIs" dxfId="131" priority="45" stopIfTrue="1" operator="lessThan">
      <formula>F7+$I$7</formula>
    </cfRule>
  </conditionalFormatting>
  <conditionalFormatting sqref="H7">
    <cfRule type="cellIs" dxfId="130" priority="46" stopIfTrue="1" operator="equal">
      <formula>"May be visited"</formula>
    </cfRule>
  </conditionalFormatting>
  <conditionalFormatting sqref="H7">
    <cfRule type="cellIs" dxfId="129" priority="47" stopIfTrue="1" operator="equal">
      <formula>"Don't visit"</formula>
    </cfRule>
  </conditionalFormatting>
  <conditionalFormatting sqref="A8">
    <cfRule type="expression" dxfId="128" priority="49" stopIfTrue="1">
      <formula>ISBLANK(A8)</formula>
    </cfRule>
  </conditionalFormatting>
  <conditionalFormatting sqref="B8">
    <cfRule type="expression" dxfId="127" priority="50" stopIfTrue="1">
      <formula>ISBLANK(B8)</formula>
    </cfRule>
  </conditionalFormatting>
  <conditionalFormatting sqref="F8">
    <cfRule type="cellIs" dxfId="126" priority="51" stopIfTrue="1" operator="greaterThan">
      <formula>G8-$I$8</formula>
    </cfRule>
  </conditionalFormatting>
  <conditionalFormatting sqref="G8">
    <cfRule type="cellIs" dxfId="125" priority="52" stopIfTrue="1" operator="lessThan">
      <formula>F8+$I$8</formula>
    </cfRule>
  </conditionalFormatting>
  <conditionalFormatting sqref="H8">
    <cfRule type="cellIs" dxfId="124" priority="53" stopIfTrue="1" operator="equal">
      <formula>"May be visited"</formula>
    </cfRule>
  </conditionalFormatting>
  <conditionalFormatting sqref="H8">
    <cfRule type="cellIs" dxfId="123" priority="54" stopIfTrue="1" operator="equal">
      <formula>"Don't visit"</formula>
    </cfRule>
  </conditionalFormatting>
  <conditionalFormatting sqref="A9">
    <cfRule type="expression" dxfId="122" priority="56" stopIfTrue="1">
      <formula>ISBLANK(A9)</formula>
    </cfRule>
  </conditionalFormatting>
  <conditionalFormatting sqref="B9">
    <cfRule type="expression" dxfId="121" priority="57" stopIfTrue="1">
      <formula>ISBLANK(B9)</formula>
    </cfRule>
  </conditionalFormatting>
  <conditionalFormatting sqref="F9">
    <cfRule type="cellIs" dxfId="120" priority="58" stopIfTrue="1" operator="greaterThan">
      <formula>G9-$I$9</formula>
    </cfRule>
  </conditionalFormatting>
  <conditionalFormatting sqref="G9">
    <cfRule type="cellIs" dxfId="119" priority="59" stopIfTrue="1" operator="lessThan">
      <formula>F9+$I$9</formula>
    </cfRule>
  </conditionalFormatting>
  <conditionalFormatting sqref="H9">
    <cfRule type="cellIs" dxfId="118" priority="60" stopIfTrue="1" operator="equal">
      <formula>"May be visited"</formula>
    </cfRule>
  </conditionalFormatting>
  <conditionalFormatting sqref="H9">
    <cfRule type="cellIs" dxfId="117" priority="61" stopIfTrue="1" operator="equal">
      <formula>"Don't visit"</formula>
    </cfRule>
  </conditionalFormatting>
  <conditionalFormatting sqref="A10">
    <cfRule type="expression" dxfId="116" priority="63" stopIfTrue="1">
      <formula>ISBLANK(A10)</formula>
    </cfRule>
  </conditionalFormatting>
  <conditionalFormatting sqref="B10">
    <cfRule type="expression" dxfId="115" priority="64" stopIfTrue="1">
      <formula>ISBLANK(B10)</formula>
    </cfRule>
  </conditionalFormatting>
  <conditionalFormatting sqref="F10">
    <cfRule type="cellIs" dxfId="114" priority="65" stopIfTrue="1" operator="greaterThan">
      <formula>G10-$I$10</formula>
    </cfRule>
  </conditionalFormatting>
  <conditionalFormatting sqref="G10">
    <cfRule type="cellIs" dxfId="113" priority="66" stopIfTrue="1" operator="lessThan">
      <formula>F10+$I$10</formula>
    </cfRule>
  </conditionalFormatting>
  <conditionalFormatting sqref="H10">
    <cfRule type="cellIs" dxfId="112" priority="67" stopIfTrue="1" operator="equal">
      <formula>"May be visited"</formula>
    </cfRule>
  </conditionalFormatting>
  <conditionalFormatting sqref="H10">
    <cfRule type="cellIs" dxfId="111" priority="68" stopIfTrue="1" operator="equal">
      <formula>"Don't visit"</formula>
    </cfRule>
  </conditionalFormatting>
  <conditionalFormatting sqref="J3:J10">
    <cfRule type="cellIs" dxfId="110" priority="70" stopIfTrue="1" operator="lessThan">
      <formula>0</formula>
    </cfRule>
  </conditionalFormatting>
  <conditionalFormatting sqref="B2:B10">
    <cfRule type="duplicateValues" dxfId="109" priority="71"/>
  </conditionalFormatting>
  <conditionalFormatting sqref="I3">
    <cfRule type="cellIs" dxfId="108" priority="8" stopIfTrue="1" operator="greaterThan">
      <formula>G3-F3 + 0.0001</formula>
    </cfRule>
  </conditionalFormatting>
  <conditionalFormatting sqref="I4">
    <cfRule type="cellIs" dxfId="107" priority="7" stopIfTrue="1" operator="greaterThan">
      <formula>G4-F4 + 0.0001</formula>
    </cfRule>
  </conditionalFormatting>
  <conditionalFormatting sqref="I5">
    <cfRule type="cellIs" dxfId="106" priority="6" stopIfTrue="1" operator="greaterThan">
      <formula>G5-F5 + 0.0001</formula>
    </cfRule>
  </conditionalFormatting>
  <conditionalFormatting sqref="I6">
    <cfRule type="cellIs" dxfId="105" priority="5" stopIfTrue="1" operator="greaterThan">
      <formula>G6-F6 + 0.0001</formula>
    </cfRule>
  </conditionalFormatting>
  <conditionalFormatting sqref="I7">
    <cfRule type="cellIs" dxfId="104" priority="4" stopIfTrue="1" operator="greaterThan">
      <formula>G7-F7 + 0.0001</formula>
    </cfRule>
  </conditionalFormatting>
  <conditionalFormatting sqref="I8">
    <cfRule type="cellIs" dxfId="103" priority="3" stopIfTrue="1" operator="greaterThan">
      <formula>G8-F8 + 0.0001</formula>
    </cfRule>
  </conditionalFormatting>
  <conditionalFormatting sqref="I9">
    <cfRule type="cellIs" dxfId="102" priority="2" stopIfTrue="1" operator="greaterThan">
      <formula>G9-F9 + 0.0001</formula>
    </cfRule>
  </conditionalFormatting>
  <conditionalFormatting sqref="I10">
    <cfRule type="cellIs" dxfId="101" priority="1" stopIfTrue="1" operator="greaterThan">
      <formula>G10-F10 + 0.0001</formula>
    </cfRule>
  </conditionalFormatting>
  <dataValidations count="2">
    <dataValidation type="decimal" operator="greaterThan" allowBlank="1" showInputMessage="1" showErrorMessage="1" error="Please enter a nonnegative value" sqref="K2:K10" xr:uid="{F91A1A96-B0BA-6C42-8106-7951CDF66B06}">
      <formula1>-0.0001</formula1>
    </dataValidation>
    <dataValidation type="list" allowBlank="1" showInputMessage="1" showErrorMessage="1" sqref="H3:H10" xr:uid="{07A629BF-6259-5F48-AB74-29EF46ED2C58}">
      <formula1>"Must be visited, May be visited, Don't visit"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C3B3A-5D21-9442-B79E-4FAC0BC7D018}">
  <sheetPr codeName="Sheet3"/>
  <dimension ref="A1:F82"/>
  <sheetViews>
    <sheetView workbookViewId="0">
      <selection activeCell="C11" sqref="C11"/>
    </sheetView>
  </sheetViews>
  <sheetFormatPr baseColWidth="10" defaultRowHeight="15" x14ac:dyDescent="0.2"/>
  <cols>
    <col min="1" max="2" width="9.83203125" bestFit="1" customWidth="1"/>
    <col min="3" max="3" width="7.83203125" bestFit="1" customWidth="1"/>
    <col min="4" max="5" width="8" bestFit="1" customWidth="1"/>
    <col min="6" max="6" width="23.83203125" customWidth="1"/>
  </cols>
  <sheetData>
    <row r="1" spans="1:6" x14ac:dyDescent="0.2">
      <c r="A1" s="7" t="s">
        <v>66</v>
      </c>
      <c r="B1" s="7" t="s">
        <v>67</v>
      </c>
      <c r="C1" s="7" t="s">
        <v>68</v>
      </c>
      <c r="D1" s="7" t="s">
        <v>69</v>
      </c>
      <c r="E1" s="7" t="s">
        <v>70</v>
      </c>
      <c r="F1" s="7" t="s">
        <v>71</v>
      </c>
    </row>
    <row r="2" spans="1:6" x14ac:dyDescent="0.2">
      <c r="A2" s="9" t="s">
        <v>54</v>
      </c>
      <c r="B2" s="9" t="s">
        <v>54</v>
      </c>
      <c r="C2" s="39">
        <v>0</v>
      </c>
      <c r="D2" s="40">
        <v>0</v>
      </c>
    </row>
    <row r="3" spans="1:6" x14ac:dyDescent="0.2">
      <c r="A3" s="14" t="s">
        <v>54</v>
      </c>
      <c r="B3" s="14" t="s">
        <v>56</v>
      </c>
      <c r="C3" s="41">
        <v>29.027871167207564</v>
      </c>
      <c r="D3" s="16">
        <f xml:space="preserve"> C3 / (24 * 'VRP Solver Console'!C10)</f>
        <v>2.4189892639339638E-2</v>
      </c>
    </row>
    <row r="4" spans="1:6" x14ac:dyDescent="0.2">
      <c r="A4" s="14" t="s">
        <v>54</v>
      </c>
      <c r="B4" s="14" t="s">
        <v>58</v>
      </c>
      <c r="C4" s="43">
        <v>18.901010920318523</v>
      </c>
      <c r="D4" s="19">
        <f xml:space="preserve"> C4 / (24 * 'VRP Solver Console'!C10)</f>
        <v>1.5750842433598769E-2</v>
      </c>
    </row>
    <row r="5" spans="1:6" x14ac:dyDescent="0.2">
      <c r="A5" s="14" t="s">
        <v>54</v>
      </c>
      <c r="B5" s="14" t="s">
        <v>59</v>
      </c>
      <c r="C5" s="41">
        <v>15.4432955475831</v>
      </c>
      <c r="D5" s="16">
        <f xml:space="preserve"> C5 / (24 * 'VRP Solver Console'!C10)</f>
        <v>1.286941295631925E-2</v>
      </c>
    </row>
    <row r="6" spans="1:6" x14ac:dyDescent="0.2">
      <c r="A6" s="14" t="s">
        <v>54</v>
      </c>
      <c r="B6" s="14" t="s">
        <v>60</v>
      </c>
      <c r="C6" s="43">
        <v>4.0774078652987384</v>
      </c>
      <c r="D6" s="19">
        <f xml:space="preserve"> C6 / (24 * 'VRP Solver Console'!C10)</f>
        <v>3.3978398877489487E-3</v>
      </c>
    </row>
    <row r="7" spans="1:6" x14ac:dyDescent="0.2">
      <c r="A7" s="14" t="s">
        <v>54</v>
      </c>
      <c r="B7" s="14" t="s">
        <v>61</v>
      </c>
      <c r="C7" s="41">
        <v>9.2461403547642469</v>
      </c>
      <c r="D7" s="16">
        <f xml:space="preserve"> C7 / (24 * 'VRP Solver Console'!C10)</f>
        <v>7.7051169623035395E-3</v>
      </c>
    </row>
    <row r="8" spans="1:6" x14ac:dyDescent="0.2">
      <c r="A8" s="14" t="s">
        <v>54</v>
      </c>
      <c r="B8" s="14" t="s">
        <v>62</v>
      </c>
      <c r="C8" s="43">
        <v>12.123684570294625</v>
      </c>
      <c r="D8" s="19">
        <f xml:space="preserve"> C8 / (24 * 'VRP Solver Console'!C10)</f>
        <v>1.010307047524552E-2</v>
      </c>
    </row>
    <row r="9" spans="1:6" x14ac:dyDescent="0.2">
      <c r="A9" s="14" t="s">
        <v>54</v>
      </c>
      <c r="B9" s="14" t="s">
        <v>63</v>
      </c>
      <c r="C9" s="41">
        <v>17.542756201349881</v>
      </c>
      <c r="D9" s="16">
        <f xml:space="preserve"> C9 / (24 * 'VRP Solver Console'!C10)</f>
        <v>1.4618963501124901E-2</v>
      </c>
    </row>
    <row r="10" spans="1:6" x14ac:dyDescent="0.2">
      <c r="A10" s="14" t="s">
        <v>54</v>
      </c>
      <c r="B10" s="14" t="s">
        <v>64</v>
      </c>
      <c r="C10" s="43">
        <v>11.840011265619644</v>
      </c>
      <c r="D10" s="19">
        <f xml:space="preserve"> C10 / (24 * 'VRP Solver Console'!C10)</f>
        <v>9.8666760546830372E-3</v>
      </c>
    </row>
    <row r="11" spans="1:6" x14ac:dyDescent="0.2">
      <c r="A11" s="14" t="s">
        <v>56</v>
      </c>
      <c r="B11" s="14" t="s">
        <v>54</v>
      </c>
      <c r="C11" s="41">
        <v>29.027871167207564</v>
      </c>
      <c r="D11" s="16">
        <f xml:space="preserve"> C11 / (24 * 'VRP Solver Console'!C10)</f>
        <v>2.4189892639339638E-2</v>
      </c>
    </row>
    <row r="12" spans="1:6" x14ac:dyDescent="0.2">
      <c r="A12" s="14" t="s">
        <v>56</v>
      </c>
      <c r="B12" s="14" t="s">
        <v>56</v>
      </c>
      <c r="C12" s="43">
        <v>0</v>
      </c>
      <c r="D12" s="19">
        <v>0</v>
      </c>
    </row>
    <row r="13" spans="1:6" x14ac:dyDescent="0.2">
      <c r="A13" s="14" t="s">
        <v>56</v>
      </c>
      <c r="B13" s="14" t="s">
        <v>58</v>
      </c>
      <c r="C13" s="41">
        <v>15.673375756677313</v>
      </c>
      <c r="D13" s="16">
        <f xml:space="preserve"> C13 / (24 * 'VRP Solver Console'!C10)</f>
        <v>1.3061146463897761E-2</v>
      </c>
    </row>
    <row r="14" spans="1:6" x14ac:dyDescent="0.2">
      <c r="A14" s="14" t="s">
        <v>56</v>
      </c>
      <c r="B14" s="14" t="s">
        <v>59</v>
      </c>
      <c r="C14" s="43">
        <v>13.951006786967028</v>
      </c>
      <c r="D14" s="19">
        <f xml:space="preserve"> C14 / (24 * 'VRP Solver Console'!C10)</f>
        <v>1.162583898913919E-2</v>
      </c>
    </row>
    <row r="15" spans="1:6" x14ac:dyDescent="0.2">
      <c r="A15" s="14" t="s">
        <v>56</v>
      </c>
      <c r="B15" s="14" t="s">
        <v>60</v>
      </c>
      <c r="C15" s="41">
        <v>32.728305489285574</v>
      </c>
      <c r="D15" s="16">
        <f xml:space="preserve"> C15 / (24 * 'VRP Solver Console'!C10)</f>
        <v>2.727358790773798E-2</v>
      </c>
    </row>
    <row r="16" spans="1:6" x14ac:dyDescent="0.2">
      <c r="A16" s="14" t="s">
        <v>56</v>
      </c>
      <c r="B16" s="14" t="s">
        <v>61</v>
      </c>
      <c r="C16" s="43">
        <v>37.650920330849814</v>
      </c>
      <c r="D16" s="19">
        <f xml:space="preserve"> C16 / (24 * 'VRP Solver Console'!C10)</f>
        <v>3.1375766942374844E-2</v>
      </c>
    </row>
    <row r="17" spans="1:4" x14ac:dyDescent="0.2">
      <c r="A17" s="14" t="s">
        <v>56</v>
      </c>
      <c r="B17" s="14" t="s">
        <v>62</v>
      </c>
      <c r="C17" s="41">
        <v>31.024064109332937</v>
      </c>
      <c r="D17" s="16">
        <f xml:space="preserve"> C17 / (24 * 'VRP Solver Console'!C10)</f>
        <v>2.5853386757777447E-2</v>
      </c>
    </row>
    <row r="18" spans="1:4" x14ac:dyDescent="0.2">
      <c r="A18" s="14" t="s">
        <v>56</v>
      </c>
      <c r="B18" s="14" t="s">
        <v>63</v>
      </c>
      <c r="C18" s="43">
        <v>46.122963305060956</v>
      </c>
      <c r="D18" s="19">
        <f xml:space="preserve"> C18 / (24 * 'VRP Solver Console'!C10)</f>
        <v>3.8435802754217464E-2</v>
      </c>
    </row>
    <row r="19" spans="1:4" x14ac:dyDescent="0.2">
      <c r="A19" s="14" t="s">
        <v>56</v>
      </c>
      <c r="B19" s="14" t="s">
        <v>64</v>
      </c>
      <c r="C19" s="41">
        <v>20.236299547348075</v>
      </c>
      <c r="D19" s="16">
        <f xml:space="preserve"> C19 / (24 * 'VRP Solver Console'!C10)</f>
        <v>1.6863582956123394E-2</v>
      </c>
    </row>
    <row r="20" spans="1:4" x14ac:dyDescent="0.2">
      <c r="A20" s="14" t="s">
        <v>58</v>
      </c>
      <c r="B20" s="14" t="s">
        <v>54</v>
      </c>
      <c r="C20" s="43">
        <v>18.901010920318523</v>
      </c>
      <c r="D20" s="19">
        <f xml:space="preserve"> C20 / (24 * 'VRP Solver Console'!C10)</f>
        <v>1.5750842433598769E-2</v>
      </c>
    </row>
    <row r="21" spans="1:4" x14ac:dyDescent="0.2">
      <c r="A21" s="14" t="s">
        <v>58</v>
      </c>
      <c r="B21" s="14" t="s">
        <v>56</v>
      </c>
      <c r="C21" s="41">
        <v>15.673375756677313</v>
      </c>
      <c r="D21" s="16">
        <f xml:space="preserve"> C21 / (24 * 'VRP Solver Console'!C10)</f>
        <v>1.3061146463897761E-2</v>
      </c>
    </row>
    <row r="22" spans="1:4" x14ac:dyDescent="0.2">
      <c r="A22" s="14" t="s">
        <v>58</v>
      </c>
      <c r="B22" s="14" t="s">
        <v>58</v>
      </c>
      <c r="C22" s="43">
        <v>0</v>
      </c>
      <c r="D22" s="19">
        <v>0</v>
      </c>
    </row>
    <row r="23" spans="1:4" x14ac:dyDescent="0.2">
      <c r="A23" s="14" t="s">
        <v>58</v>
      </c>
      <c r="B23" s="14" t="s">
        <v>59</v>
      </c>
      <c r="C23" s="41">
        <v>11.701528395897689</v>
      </c>
      <c r="D23" s="16">
        <f xml:space="preserve"> C23 / (24 * 'VRP Solver Console'!C10)</f>
        <v>9.7512736632480741E-3</v>
      </c>
    </row>
    <row r="24" spans="1:4" x14ac:dyDescent="0.2">
      <c r="A24" s="14" t="s">
        <v>58</v>
      </c>
      <c r="B24" s="14" t="s">
        <v>60</v>
      </c>
      <c r="C24" s="43">
        <v>22.973453273942081</v>
      </c>
      <c r="D24" s="19">
        <f xml:space="preserve"> C24 / (24 * 'VRP Solver Console'!C10)</f>
        <v>1.9144544394951734E-2</v>
      </c>
    </row>
    <row r="25" spans="1:4" x14ac:dyDescent="0.2">
      <c r="A25" s="14" t="s">
        <v>58</v>
      </c>
      <c r="B25" s="14" t="s">
        <v>61</v>
      </c>
      <c r="C25" s="41">
        <v>25.476467042547316</v>
      </c>
      <c r="D25" s="16">
        <f xml:space="preserve"> C25 / (24 * 'VRP Solver Console'!C10)</f>
        <v>2.1230389202122765E-2</v>
      </c>
    </row>
    <row r="26" spans="1:4" x14ac:dyDescent="0.2">
      <c r="A26" s="14" t="s">
        <v>58</v>
      </c>
      <c r="B26" s="14" t="s">
        <v>62</v>
      </c>
      <c r="C26" s="43">
        <v>16.20966103192784</v>
      </c>
      <c r="D26" s="19">
        <f xml:space="preserve"> C26 / (24 * 'VRP Solver Console'!C10)</f>
        <v>1.3508050859939866E-2</v>
      </c>
    </row>
    <row r="27" spans="1:4" x14ac:dyDescent="0.2">
      <c r="A27" s="14" t="s">
        <v>58</v>
      </c>
      <c r="B27" s="14" t="s">
        <v>63</v>
      </c>
      <c r="C27" s="41">
        <v>36.203406693983915</v>
      </c>
      <c r="D27" s="16">
        <f xml:space="preserve"> C27 / (24 * 'VRP Solver Console'!C10)</f>
        <v>3.0169505578319929E-2</v>
      </c>
    </row>
    <row r="28" spans="1:4" x14ac:dyDescent="0.2">
      <c r="A28" s="14" t="s">
        <v>58</v>
      </c>
      <c r="B28" s="14" t="s">
        <v>64</v>
      </c>
      <c r="C28" s="43">
        <v>17.16844016677112</v>
      </c>
      <c r="D28" s="19">
        <f xml:space="preserve"> C28 / (24 * 'VRP Solver Console'!C10)</f>
        <v>1.4307033472309267E-2</v>
      </c>
    </row>
    <row r="29" spans="1:4" x14ac:dyDescent="0.2">
      <c r="A29" s="14" t="s">
        <v>59</v>
      </c>
      <c r="B29" s="14" t="s">
        <v>54</v>
      </c>
      <c r="C29" s="41">
        <v>15.4432955475831</v>
      </c>
      <c r="D29" s="16">
        <f xml:space="preserve"> C29 / (24 * 'VRP Solver Console'!C10)</f>
        <v>1.286941295631925E-2</v>
      </c>
    </row>
    <row r="30" spans="1:4" x14ac:dyDescent="0.2">
      <c r="A30" s="14" t="s">
        <v>59</v>
      </c>
      <c r="B30" s="14" t="s">
        <v>56</v>
      </c>
      <c r="C30" s="43">
        <v>13.951006786967028</v>
      </c>
      <c r="D30" s="19">
        <f xml:space="preserve"> C30 / (24 * 'VRP Solver Console'!C10)</f>
        <v>1.162583898913919E-2</v>
      </c>
    </row>
    <row r="31" spans="1:4" x14ac:dyDescent="0.2">
      <c r="A31" s="14" t="s">
        <v>59</v>
      </c>
      <c r="B31" s="14" t="s">
        <v>58</v>
      </c>
      <c r="C31" s="41">
        <v>11.701528395897689</v>
      </c>
      <c r="D31" s="16">
        <f xml:space="preserve"> C31 / (24 * 'VRP Solver Console'!C10)</f>
        <v>9.7512736632480741E-3</v>
      </c>
    </row>
    <row r="32" spans="1:4" x14ac:dyDescent="0.2">
      <c r="A32" s="14" t="s">
        <v>59</v>
      </c>
      <c r="B32" s="14" t="s">
        <v>59</v>
      </c>
      <c r="C32" s="43">
        <v>0</v>
      </c>
      <c r="D32" s="19">
        <v>0</v>
      </c>
    </row>
    <row r="33" spans="1:4" x14ac:dyDescent="0.2">
      <c r="A33" s="14" t="s">
        <v>59</v>
      </c>
      <c r="B33" s="14" t="s">
        <v>60</v>
      </c>
      <c r="C33" s="41">
        <v>18.92584824017143</v>
      </c>
      <c r="D33" s="16">
        <f xml:space="preserve"> C33 / (24 * 'VRP Solver Console'!C10)</f>
        <v>1.5771540200142858E-2</v>
      </c>
    </row>
    <row r="34" spans="1:4" x14ac:dyDescent="0.2">
      <c r="A34" s="14" t="s">
        <v>59</v>
      </c>
      <c r="B34" s="14" t="s">
        <v>61</v>
      </c>
      <c r="C34" s="43">
        <v>24.474604932664384</v>
      </c>
      <c r="D34" s="19">
        <f xml:space="preserve"> C34 / (24 * 'VRP Solver Console'!C10)</f>
        <v>2.0395504110553655E-2</v>
      </c>
    </row>
    <row r="35" spans="1:4" x14ac:dyDescent="0.2">
      <c r="A35" s="14" t="s">
        <v>59</v>
      </c>
      <c r="B35" s="14" t="s">
        <v>62</v>
      </c>
      <c r="C35" s="41">
        <v>20.66876741390255</v>
      </c>
      <c r="D35" s="16">
        <f xml:space="preserve"> C35 / (24 * 'VRP Solver Console'!C10)</f>
        <v>1.7223972844918792E-2</v>
      </c>
    </row>
    <row r="36" spans="1:4" x14ac:dyDescent="0.2">
      <c r="A36" s="14" t="s">
        <v>59</v>
      </c>
      <c r="B36" s="14" t="s">
        <v>63</v>
      </c>
      <c r="C36" s="43">
        <v>32.206388522310277</v>
      </c>
      <c r="D36" s="19">
        <f xml:space="preserve"> C36 / (24 * 'VRP Solver Console'!C10)</f>
        <v>2.6838657101925231E-2</v>
      </c>
    </row>
    <row r="37" spans="1:4" x14ac:dyDescent="0.2">
      <c r="A37" s="14" t="s">
        <v>59</v>
      </c>
      <c r="B37" s="14" t="s">
        <v>64</v>
      </c>
      <c r="C37" s="41">
        <v>6.8503269002289207</v>
      </c>
      <c r="D37" s="16">
        <f xml:space="preserve"> C37 / (24 * 'VRP Solver Console'!C10)</f>
        <v>5.7086057501907674E-3</v>
      </c>
    </row>
    <row r="38" spans="1:4" x14ac:dyDescent="0.2">
      <c r="A38" s="14" t="s">
        <v>60</v>
      </c>
      <c r="B38" s="14" t="s">
        <v>54</v>
      </c>
      <c r="C38" s="43">
        <v>4.0774078652987384</v>
      </c>
      <c r="D38" s="19">
        <f xml:space="preserve"> C38 / (24 * 'VRP Solver Console'!C10)</f>
        <v>3.3978398877489487E-3</v>
      </c>
    </row>
    <row r="39" spans="1:4" x14ac:dyDescent="0.2">
      <c r="A39" s="14" t="s">
        <v>60</v>
      </c>
      <c r="B39" s="14" t="s">
        <v>56</v>
      </c>
      <c r="C39" s="41">
        <v>32.728305489285574</v>
      </c>
      <c r="D39" s="16">
        <f xml:space="preserve"> C39 / (24 * 'VRP Solver Console'!C10)</f>
        <v>2.727358790773798E-2</v>
      </c>
    </row>
    <row r="40" spans="1:4" x14ac:dyDescent="0.2">
      <c r="A40" s="14" t="s">
        <v>60</v>
      </c>
      <c r="B40" s="14" t="s">
        <v>58</v>
      </c>
      <c r="C40" s="43">
        <v>22.973453273942081</v>
      </c>
      <c r="D40" s="19">
        <f xml:space="preserve"> C40 / (24 * 'VRP Solver Console'!C10)</f>
        <v>1.9144544394951734E-2</v>
      </c>
    </row>
    <row r="41" spans="1:4" x14ac:dyDescent="0.2">
      <c r="A41" s="14" t="s">
        <v>60</v>
      </c>
      <c r="B41" s="14" t="s">
        <v>59</v>
      </c>
      <c r="C41" s="41">
        <v>18.92584824017143</v>
      </c>
      <c r="D41" s="16">
        <f xml:space="preserve"> C41 / (24 * 'VRP Solver Console'!C10)</f>
        <v>1.5771540200142858E-2</v>
      </c>
    </row>
    <row r="42" spans="1:4" x14ac:dyDescent="0.2">
      <c r="A42" s="14" t="s">
        <v>60</v>
      </c>
      <c r="B42" s="14" t="s">
        <v>60</v>
      </c>
      <c r="C42" s="43">
        <v>0</v>
      </c>
      <c r="D42" s="19">
        <v>0</v>
      </c>
    </row>
    <row r="43" spans="1:4" x14ac:dyDescent="0.2">
      <c r="A43" s="14" t="s">
        <v>60</v>
      </c>
      <c r="B43" s="14" t="s">
        <v>61</v>
      </c>
      <c r="C43" s="41">
        <v>7.373289450442047</v>
      </c>
      <c r="D43" s="16">
        <f xml:space="preserve"> C43 / (24 * 'VRP Solver Console'!C10)</f>
        <v>6.1444078753683726E-3</v>
      </c>
    </row>
    <row r="44" spans="1:4" x14ac:dyDescent="0.2">
      <c r="A44" s="14" t="s">
        <v>60</v>
      </c>
      <c r="B44" s="14" t="s">
        <v>62</v>
      </c>
      <c r="C44" s="43">
        <v>14.527703742161046</v>
      </c>
      <c r="D44" s="19">
        <f xml:space="preserve"> C44 / (24 * 'VRP Solver Console'!C10)</f>
        <v>1.2106419785134204E-2</v>
      </c>
    </row>
    <row r="45" spans="1:4" x14ac:dyDescent="0.2">
      <c r="A45" s="14" t="s">
        <v>60</v>
      </c>
      <c r="B45" s="14" t="s">
        <v>63</v>
      </c>
      <c r="C45" s="41">
        <v>13.54676377294591</v>
      </c>
      <c r="D45" s="16">
        <f xml:space="preserve"> C45 / (24 * 'VRP Solver Console'!C10)</f>
        <v>1.1288969810788259E-2</v>
      </c>
    </row>
    <row r="46" spans="1:4" x14ac:dyDescent="0.2">
      <c r="A46" s="14" t="s">
        <v>60</v>
      </c>
      <c r="B46" s="14" t="s">
        <v>64</v>
      </c>
      <c r="C46" s="43">
        <v>14.323112931552279</v>
      </c>
      <c r="D46" s="19">
        <f xml:space="preserve"> C46 / (24 * 'VRP Solver Console'!C10)</f>
        <v>1.1935927442960232E-2</v>
      </c>
    </row>
    <row r="47" spans="1:4" x14ac:dyDescent="0.2">
      <c r="A47" s="14" t="s">
        <v>61</v>
      </c>
      <c r="B47" s="14" t="s">
        <v>54</v>
      </c>
      <c r="C47" s="41">
        <v>9.2461403547642469</v>
      </c>
      <c r="D47" s="16">
        <f xml:space="preserve"> C47 / (24 * 'VRP Solver Console'!C10)</f>
        <v>7.7051169623035395E-3</v>
      </c>
    </row>
    <row r="48" spans="1:4" x14ac:dyDescent="0.2">
      <c r="A48" s="14" t="s">
        <v>61</v>
      </c>
      <c r="B48" s="14" t="s">
        <v>56</v>
      </c>
      <c r="C48" s="43">
        <v>37.650920330849814</v>
      </c>
      <c r="D48" s="19">
        <f xml:space="preserve"> C48 / (24 * 'VRP Solver Console'!C10)</f>
        <v>3.1375766942374844E-2</v>
      </c>
    </row>
    <row r="49" spans="1:4" x14ac:dyDescent="0.2">
      <c r="A49" s="14" t="s">
        <v>61</v>
      </c>
      <c r="B49" s="14" t="s">
        <v>58</v>
      </c>
      <c r="C49" s="41">
        <v>25.476467042547316</v>
      </c>
      <c r="D49" s="16">
        <f xml:space="preserve"> C49 / (24 * 'VRP Solver Console'!C10)</f>
        <v>2.1230389202122765E-2</v>
      </c>
    </row>
    <row r="50" spans="1:4" x14ac:dyDescent="0.2">
      <c r="A50" s="14" t="s">
        <v>61</v>
      </c>
      <c r="B50" s="14" t="s">
        <v>59</v>
      </c>
      <c r="C50" s="43">
        <v>24.474604932664384</v>
      </c>
      <c r="D50" s="19">
        <f xml:space="preserve"> C50 / (24 * 'VRP Solver Console'!C10)</f>
        <v>2.0395504110553655E-2</v>
      </c>
    </row>
    <row r="51" spans="1:4" x14ac:dyDescent="0.2">
      <c r="A51" s="14" t="s">
        <v>61</v>
      </c>
      <c r="B51" s="14" t="s">
        <v>60</v>
      </c>
      <c r="C51" s="41">
        <v>7.373289450442047</v>
      </c>
      <c r="D51" s="16">
        <f xml:space="preserve"> C51 / (24 * 'VRP Solver Console'!C10)</f>
        <v>6.1444078753683726E-3</v>
      </c>
    </row>
    <row r="52" spans="1:4" x14ac:dyDescent="0.2">
      <c r="A52" s="14" t="s">
        <v>61</v>
      </c>
      <c r="B52" s="14" t="s">
        <v>61</v>
      </c>
      <c r="C52" s="43">
        <v>0</v>
      </c>
      <c r="D52" s="19">
        <v>0</v>
      </c>
    </row>
    <row r="53" spans="1:4" x14ac:dyDescent="0.2">
      <c r="A53" s="14" t="s">
        <v>61</v>
      </c>
      <c r="B53" s="14" t="s">
        <v>62</v>
      </c>
      <c r="C53" s="41">
        <v>12.181503704387234</v>
      </c>
      <c r="D53" s="16">
        <f xml:space="preserve"> C53 / (24 * 'VRP Solver Console'!C10)</f>
        <v>1.0151253086989361E-2</v>
      </c>
    </row>
    <row r="54" spans="1:4" x14ac:dyDescent="0.2">
      <c r="A54" s="14" t="s">
        <v>61</v>
      </c>
      <c r="B54" s="14" t="s">
        <v>63</v>
      </c>
      <c r="C54" s="43">
        <v>12.128481390512167</v>
      </c>
      <c r="D54" s="19">
        <f xml:space="preserve"> C54 / (24 * 'VRP Solver Console'!C10)</f>
        <v>1.0107067825426806E-2</v>
      </c>
    </row>
    <row r="55" spans="1:4" x14ac:dyDescent="0.2">
      <c r="A55" s="14" t="s">
        <v>61</v>
      </c>
      <c r="B55" s="14" t="s">
        <v>64</v>
      </c>
      <c r="C55" s="41">
        <v>21.018531090682814</v>
      </c>
      <c r="D55" s="16">
        <f xml:space="preserve"> C55 / (24 * 'VRP Solver Console'!C10)</f>
        <v>1.7515442575569012E-2</v>
      </c>
    </row>
    <row r="56" spans="1:4" x14ac:dyDescent="0.2">
      <c r="A56" s="14" t="s">
        <v>62</v>
      </c>
      <c r="B56" s="14" t="s">
        <v>54</v>
      </c>
      <c r="C56" s="43">
        <v>12.123684570294625</v>
      </c>
      <c r="D56" s="19">
        <f xml:space="preserve"> C56 / (24 * 'VRP Solver Console'!C10)</f>
        <v>1.010307047524552E-2</v>
      </c>
    </row>
    <row r="57" spans="1:4" x14ac:dyDescent="0.2">
      <c r="A57" s="14" t="s">
        <v>62</v>
      </c>
      <c r="B57" s="14" t="s">
        <v>56</v>
      </c>
      <c r="C57" s="41">
        <v>31.024064109332937</v>
      </c>
      <c r="D57" s="16">
        <f xml:space="preserve"> C57 / (24 * 'VRP Solver Console'!C10)</f>
        <v>2.5853386757777447E-2</v>
      </c>
    </row>
    <row r="58" spans="1:4" x14ac:dyDescent="0.2">
      <c r="A58" s="14" t="s">
        <v>62</v>
      </c>
      <c r="B58" s="14" t="s">
        <v>58</v>
      </c>
      <c r="C58" s="43">
        <v>16.20966103192784</v>
      </c>
      <c r="D58" s="19">
        <f xml:space="preserve"> C58 / (24 * 'VRP Solver Console'!C10)</f>
        <v>1.3508050859939866E-2</v>
      </c>
    </row>
    <row r="59" spans="1:4" x14ac:dyDescent="0.2">
      <c r="A59" s="14" t="s">
        <v>62</v>
      </c>
      <c r="B59" s="14" t="s">
        <v>59</v>
      </c>
      <c r="C59" s="41">
        <v>20.66876741390255</v>
      </c>
      <c r="D59" s="16">
        <f xml:space="preserve"> C59 / (24 * 'VRP Solver Console'!C10)</f>
        <v>1.7223972844918792E-2</v>
      </c>
    </row>
    <row r="60" spans="1:4" x14ac:dyDescent="0.2">
      <c r="A60" s="14" t="s">
        <v>62</v>
      </c>
      <c r="B60" s="14" t="s">
        <v>60</v>
      </c>
      <c r="C60" s="43">
        <v>14.527703742161046</v>
      </c>
      <c r="D60" s="19">
        <f xml:space="preserve"> C60 / (24 * 'VRP Solver Console'!C10)</f>
        <v>1.2106419785134204E-2</v>
      </c>
    </row>
    <row r="61" spans="1:4" x14ac:dyDescent="0.2">
      <c r="A61" s="14" t="s">
        <v>62</v>
      </c>
      <c r="B61" s="14" t="s">
        <v>61</v>
      </c>
      <c r="C61" s="41">
        <v>12.181503704387234</v>
      </c>
      <c r="D61" s="16">
        <f xml:space="preserve"> C61 / (24 * 'VRP Solver Console'!C10)</f>
        <v>1.0151253086989361E-2</v>
      </c>
    </row>
    <row r="62" spans="1:4" x14ac:dyDescent="0.2">
      <c r="A62" s="14" t="s">
        <v>62</v>
      </c>
      <c r="B62" s="14" t="s">
        <v>62</v>
      </c>
      <c r="C62" s="43">
        <v>0</v>
      </c>
      <c r="D62" s="19">
        <v>0</v>
      </c>
    </row>
    <row r="63" spans="1:4" x14ac:dyDescent="0.2">
      <c r="A63" s="14" t="s">
        <v>62</v>
      </c>
      <c r="B63" s="14" t="s">
        <v>63</v>
      </c>
      <c r="C63" s="41">
        <v>24.301021154264273</v>
      </c>
      <c r="D63" s="16">
        <f xml:space="preserve"> C63 / (24 * 'VRP Solver Console'!C10)</f>
        <v>2.0250850961886894E-2</v>
      </c>
    </row>
    <row r="64" spans="1:4" x14ac:dyDescent="0.2">
      <c r="A64" s="14" t="s">
        <v>62</v>
      </c>
      <c r="B64" s="14" t="s">
        <v>64</v>
      </c>
      <c r="C64" s="43">
        <v>20.885955171119182</v>
      </c>
      <c r="D64" s="19">
        <f xml:space="preserve"> C64 / (24 * 'VRP Solver Console'!C10)</f>
        <v>1.7404962642599317E-2</v>
      </c>
    </row>
    <row r="65" spans="1:4" x14ac:dyDescent="0.2">
      <c r="A65" s="14" t="s">
        <v>63</v>
      </c>
      <c r="B65" s="14" t="s">
        <v>54</v>
      </c>
      <c r="C65" s="41">
        <v>17.542756201349881</v>
      </c>
      <c r="D65" s="16">
        <f xml:space="preserve"> C65 / (24 * 'VRP Solver Console'!C10)</f>
        <v>1.4618963501124901E-2</v>
      </c>
    </row>
    <row r="66" spans="1:4" x14ac:dyDescent="0.2">
      <c r="A66" s="14" t="s">
        <v>63</v>
      </c>
      <c r="B66" s="14" t="s">
        <v>56</v>
      </c>
      <c r="C66" s="43">
        <v>46.122963305060956</v>
      </c>
      <c r="D66" s="19">
        <f xml:space="preserve"> C66 / (24 * 'VRP Solver Console'!C10)</f>
        <v>3.8435802754217464E-2</v>
      </c>
    </row>
    <row r="67" spans="1:4" x14ac:dyDescent="0.2">
      <c r="A67" s="14" t="s">
        <v>63</v>
      </c>
      <c r="B67" s="14" t="s">
        <v>58</v>
      </c>
      <c r="C67" s="41">
        <v>36.203406693983915</v>
      </c>
      <c r="D67" s="16">
        <f xml:space="preserve"> C67 / (24 * 'VRP Solver Console'!C10)</f>
        <v>3.0169505578319929E-2</v>
      </c>
    </row>
    <row r="68" spans="1:4" x14ac:dyDescent="0.2">
      <c r="A68" s="14" t="s">
        <v>63</v>
      </c>
      <c r="B68" s="14" t="s">
        <v>59</v>
      </c>
      <c r="C68" s="43">
        <v>32.206388522310277</v>
      </c>
      <c r="D68" s="19">
        <f xml:space="preserve"> C68 / (24 * 'VRP Solver Console'!C10)</f>
        <v>2.6838657101925231E-2</v>
      </c>
    </row>
    <row r="69" spans="1:4" x14ac:dyDescent="0.2">
      <c r="A69" s="14" t="s">
        <v>63</v>
      </c>
      <c r="B69" s="14" t="s">
        <v>60</v>
      </c>
      <c r="C69" s="41">
        <v>13.54676377294591</v>
      </c>
      <c r="D69" s="16">
        <f xml:space="preserve"> C69 / (24 * 'VRP Solver Console'!C10)</f>
        <v>1.1288969810788259E-2</v>
      </c>
    </row>
    <row r="70" spans="1:4" x14ac:dyDescent="0.2">
      <c r="A70" s="14" t="s">
        <v>63</v>
      </c>
      <c r="B70" s="14" t="s">
        <v>61</v>
      </c>
      <c r="C70" s="43">
        <v>12.128481390512167</v>
      </c>
      <c r="D70" s="19">
        <f xml:space="preserve"> C70 / (24 * 'VRP Solver Console'!C10)</f>
        <v>1.0107067825426806E-2</v>
      </c>
    </row>
    <row r="71" spans="1:4" x14ac:dyDescent="0.2">
      <c r="A71" s="14" t="s">
        <v>63</v>
      </c>
      <c r="B71" s="14" t="s">
        <v>62</v>
      </c>
      <c r="C71" s="41">
        <v>24.301021154264273</v>
      </c>
      <c r="D71" s="16">
        <f xml:space="preserve"> C71 / (24 * 'VRP Solver Console'!C10)</f>
        <v>2.0250850961886894E-2</v>
      </c>
    </row>
    <row r="72" spans="1:4" x14ac:dyDescent="0.2">
      <c r="A72" s="14" t="s">
        <v>63</v>
      </c>
      <c r="B72" s="14" t="s">
        <v>63</v>
      </c>
      <c r="C72" s="43">
        <v>0</v>
      </c>
      <c r="D72" s="19">
        <v>0</v>
      </c>
    </row>
    <row r="73" spans="1:4" x14ac:dyDescent="0.2">
      <c r="A73" s="14" t="s">
        <v>63</v>
      </c>
      <c r="B73" s="14" t="s">
        <v>64</v>
      </c>
      <c r="C73" s="41">
        <v>26.749375526355749</v>
      </c>
      <c r="D73" s="16">
        <f xml:space="preserve"> C73 / (24 * 'VRP Solver Console'!C10)</f>
        <v>2.2291146271963123E-2</v>
      </c>
    </row>
    <row r="74" spans="1:4" x14ac:dyDescent="0.2">
      <c r="A74" s="14" t="s">
        <v>64</v>
      </c>
      <c r="B74" s="14" t="s">
        <v>54</v>
      </c>
      <c r="C74" s="43">
        <v>11.840011265619644</v>
      </c>
      <c r="D74" s="19">
        <f xml:space="preserve"> C74 / (24 * 'VRP Solver Console'!C10)</f>
        <v>9.8666760546830372E-3</v>
      </c>
    </row>
    <row r="75" spans="1:4" x14ac:dyDescent="0.2">
      <c r="A75" s="14" t="s">
        <v>64</v>
      </c>
      <c r="B75" s="14" t="s">
        <v>56</v>
      </c>
      <c r="C75" s="41">
        <v>20.236299547348075</v>
      </c>
      <c r="D75" s="16">
        <f xml:space="preserve"> C75 / (24 * 'VRP Solver Console'!C10)</f>
        <v>1.6863582956123394E-2</v>
      </c>
    </row>
    <row r="76" spans="1:4" x14ac:dyDescent="0.2">
      <c r="A76" s="14" t="s">
        <v>64</v>
      </c>
      <c r="B76" s="14" t="s">
        <v>58</v>
      </c>
      <c r="C76" s="43">
        <v>17.16844016677112</v>
      </c>
      <c r="D76" s="19">
        <f xml:space="preserve"> C76 / (24 * 'VRP Solver Console'!C10)</f>
        <v>1.4307033472309267E-2</v>
      </c>
    </row>
    <row r="77" spans="1:4" x14ac:dyDescent="0.2">
      <c r="A77" s="14" t="s">
        <v>64</v>
      </c>
      <c r="B77" s="14" t="s">
        <v>59</v>
      </c>
      <c r="C77" s="41">
        <v>6.8503269002289207</v>
      </c>
      <c r="D77" s="16">
        <f xml:space="preserve"> C77 / (24 * 'VRP Solver Console'!C10)</f>
        <v>5.7086057501907674E-3</v>
      </c>
    </row>
    <row r="78" spans="1:4" x14ac:dyDescent="0.2">
      <c r="A78" s="14" t="s">
        <v>64</v>
      </c>
      <c r="B78" s="14" t="s">
        <v>60</v>
      </c>
      <c r="C78" s="43">
        <v>14.323112931552279</v>
      </c>
      <c r="D78" s="19">
        <f xml:space="preserve"> C78 / (24 * 'VRP Solver Console'!C10)</f>
        <v>1.1935927442960232E-2</v>
      </c>
    </row>
    <row r="79" spans="1:4" x14ac:dyDescent="0.2">
      <c r="A79" s="14" t="s">
        <v>64</v>
      </c>
      <c r="B79" s="14" t="s">
        <v>61</v>
      </c>
      <c r="C79" s="41">
        <v>21.018531090682814</v>
      </c>
      <c r="D79" s="16">
        <f xml:space="preserve"> C79 / (24 * 'VRP Solver Console'!C10)</f>
        <v>1.7515442575569012E-2</v>
      </c>
    </row>
    <row r="80" spans="1:4" x14ac:dyDescent="0.2">
      <c r="A80" s="14" t="s">
        <v>64</v>
      </c>
      <c r="B80" s="14" t="s">
        <v>62</v>
      </c>
      <c r="C80" s="43">
        <v>20.885955171119182</v>
      </c>
      <c r="D80" s="19">
        <f xml:space="preserve"> C80 / (24 * 'VRP Solver Console'!C10)</f>
        <v>1.7404962642599317E-2</v>
      </c>
    </row>
    <row r="81" spans="1:4" x14ac:dyDescent="0.2">
      <c r="A81" s="14" t="s">
        <v>64</v>
      </c>
      <c r="B81" s="14" t="s">
        <v>63</v>
      </c>
      <c r="C81" s="41">
        <v>26.749375526355749</v>
      </c>
      <c r="D81" s="16">
        <f xml:space="preserve"> C81 / (24 * 'VRP Solver Console'!C10)</f>
        <v>2.2291146271963123E-2</v>
      </c>
    </row>
    <row r="82" spans="1:4" x14ac:dyDescent="0.2">
      <c r="A82" s="13" t="s">
        <v>64</v>
      </c>
      <c r="B82" s="13" t="s">
        <v>64</v>
      </c>
      <c r="C82" s="42">
        <v>0</v>
      </c>
      <c r="D82" s="17">
        <v>0</v>
      </c>
    </row>
  </sheetData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EAA90-82AE-9C48-BEA8-7AE646D724F4}">
  <sheetPr codeName="Sheet4"/>
  <dimension ref="A1:M4"/>
  <sheetViews>
    <sheetView workbookViewId="0">
      <selection activeCell="H30" sqref="H30"/>
    </sheetView>
  </sheetViews>
  <sheetFormatPr baseColWidth="10" defaultRowHeight="15" x14ac:dyDescent="0.2"/>
  <cols>
    <col min="1" max="1" width="12.1640625" bestFit="1" customWidth="1"/>
    <col min="2" max="2" width="11" bestFit="1" customWidth="1"/>
    <col min="3" max="3" width="7.6640625" bestFit="1" customWidth="1"/>
    <col min="4" max="4" width="15" bestFit="1" customWidth="1"/>
    <col min="5" max="5" width="18" bestFit="1" customWidth="1"/>
    <col min="6" max="6" width="16.33203125" bestFit="1" customWidth="1"/>
    <col min="7" max="7" width="11.83203125" bestFit="1" customWidth="1"/>
    <col min="8" max="8" width="13.1640625" bestFit="1" customWidth="1"/>
    <col min="9" max="9" width="14.6640625" bestFit="1" customWidth="1"/>
    <col min="10" max="10" width="15.6640625" bestFit="1" customWidth="1"/>
    <col min="11" max="11" width="11.5" bestFit="1" customWidth="1"/>
    <col min="12" max="12" width="12.1640625" hidden="1" customWidth="1"/>
    <col min="13" max="13" width="16" bestFit="1" customWidth="1"/>
  </cols>
  <sheetData>
    <row r="1" spans="1:13" x14ac:dyDescent="0.2">
      <c r="A1" s="7" t="s">
        <v>72</v>
      </c>
      <c r="B1" s="7" t="s">
        <v>73</v>
      </c>
      <c r="C1" s="7" t="s">
        <v>74</v>
      </c>
      <c r="D1" s="7" t="s">
        <v>75</v>
      </c>
      <c r="E1" s="7" t="s">
        <v>76</v>
      </c>
      <c r="F1" s="7" t="s">
        <v>77</v>
      </c>
      <c r="G1" s="7" t="s">
        <v>78</v>
      </c>
      <c r="H1" s="7" t="s">
        <v>79</v>
      </c>
      <c r="I1" s="7" t="s">
        <v>80</v>
      </c>
      <c r="J1" s="7" t="s">
        <v>81</v>
      </c>
      <c r="K1" s="7" t="s">
        <v>82</v>
      </c>
      <c r="L1" s="7" t="s">
        <v>83</v>
      </c>
      <c r="M1" s="7" t="s">
        <v>84</v>
      </c>
    </row>
    <row r="2" spans="1:13" x14ac:dyDescent="0.2">
      <c r="A2" s="76" t="s">
        <v>54</v>
      </c>
      <c r="B2" s="44" t="s">
        <v>85</v>
      </c>
      <c r="C2" s="44">
        <v>110</v>
      </c>
      <c r="D2" s="45">
        <v>150</v>
      </c>
      <c r="E2" s="45">
        <v>1.2</v>
      </c>
      <c r="F2" s="45">
        <v>1</v>
      </c>
      <c r="G2" s="45">
        <v>100</v>
      </c>
      <c r="H2" s="46">
        <v>0.33333333333333331</v>
      </c>
      <c r="I2" s="47">
        <v>0.125</v>
      </c>
      <c r="J2" s="47">
        <v>0.16666666666666666</v>
      </c>
      <c r="K2" s="44" t="s">
        <v>54</v>
      </c>
      <c r="L2" s="48">
        <f>IFERROR(MATCH(K2,'1.Locations'!$B$2:$B$2,0) - 1," ")</f>
        <v>0</v>
      </c>
      <c r="M2" s="44">
        <v>1</v>
      </c>
    </row>
    <row r="3" spans="1:13" ht="16" thickBot="1" x14ac:dyDescent="0.25">
      <c r="A3" s="77"/>
      <c r="B3" s="49" t="s">
        <v>86</v>
      </c>
      <c r="C3" s="49">
        <v>110</v>
      </c>
      <c r="D3" s="50">
        <v>200</v>
      </c>
      <c r="E3" s="50">
        <v>1.2</v>
      </c>
      <c r="F3" s="50">
        <v>1</v>
      </c>
      <c r="G3" s="50">
        <v>100</v>
      </c>
      <c r="H3" s="51">
        <v>0.33333333333333331</v>
      </c>
      <c r="I3" s="52">
        <v>0.125</v>
      </c>
      <c r="J3" s="52">
        <v>0.16666666666666666</v>
      </c>
      <c r="K3" s="49" t="s">
        <v>54</v>
      </c>
      <c r="L3" s="53">
        <f>IFERROR(MATCH(K3,'1.Locations'!$B$2:$B$2,0) - 1," ")</f>
        <v>0</v>
      </c>
      <c r="M3" s="49">
        <v>1</v>
      </c>
    </row>
    <row r="4" spans="1:13" ht="16" thickTop="1" x14ac:dyDescent="0.2"/>
  </sheetData>
  <mergeCells count="1">
    <mergeCell ref="A2:A3"/>
  </mergeCells>
  <dataValidations count="3">
    <dataValidation type="decimal" operator="greaterThan" allowBlank="1" showInputMessage="1" showErrorMessage="1" error="Please enter a nonnegative value" sqref="C2:E3" xr:uid="{4BDF9B42-F12B-7346-A818-0C86ECC166E9}">
      <formula1>-0.0001</formula1>
    </dataValidation>
    <dataValidation type="decimal" operator="greaterThan" allowBlank="1" showInputMessage="1" showErrorMessage="1" error="Please enter a positive value" sqref="F2:F3 J2:J3" xr:uid="{42133E39-A539-4F43-B306-7F254C61C891}">
      <formula1>0</formula1>
    </dataValidation>
    <dataValidation type="whole" operator="greaterThan" allowBlank="1" showInputMessage="1" showErrorMessage="1" error="Please enter a nonnegative integer value" sqref="G2:G3" xr:uid="{A72C6279-2EF3-0D41-8F70-5316B4E16BE0}">
      <formula1>-1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Warning" error="Please select a value from the list available in the selected cell." xr:uid="{88FDE53A-31C9-E043-887D-7679C935350E}">
          <x14:formula1>
            <xm:f>'1.Locations'!$B$2:$B$2</xm:f>
          </x14:formula1>
          <xm:sqref>K2:K3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38461-C196-3349-8098-B0CAE11F5724}">
  <sheetPr codeName="Sheet5"/>
  <dimension ref="A1:D10"/>
  <sheetViews>
    <sheetView workbookViewId="0">
      <selection activeCell="C31" sqref="C31"/>
    </sheetView>
  </sheetViews>
  <sheetFormatPr baseColWidth="10" defaultRowHeight="15" x14ac:dyDescent="0.2"/>
  <cols>
    <col min="1" max="1" width="9.83203125" bestFit="1" customWidth="1"/>
    <col min="2" max="2" width="12.6640625" bestFit="1" customWidth="1"/>
    <col min="3" max="4" width="13.83203125" customWidth="1"/>
  </cols>
  <sheetData>
    <row r="1" spans="1:4" x14ac:dyDescent="0.2">
      <c r="A1" s="7" t="s">
        <v>42</v>
      </c>
      <c r="B1" s="7" t="s">
        <v>87</v>
      </c>
      <c r="C1" s="7" t="str">
        <f xml:space="preserve"> '3.Vehicles'!B2</f>
        <v>T1</v>
      </c>
      <c r="D1" s="7" t="str">
        <f xml:space="preserve"> '3.Vehicles'!B3</f>
        <v>T2</v>
      </c>
    </row>
    <row r="2" spans="1:4" ht="16" thickBot="1" x14ac:dyDescent="0.25">
      <c r="A2" s="9">
        <f>'1.Locations'!A2</f>
        <v>0</v>
      </c>
      <c r="B2" s="9" t="str">
        <f>'1.Locations'!B2</f>
        <v>Depot</v>
      </c>
      <c r="C2" s="54" t="s">
        <v>88</v>
      </c>
      <c r="D2" s="54" t="s">
        <v>88</v>
      </c>
    </row>
    <row r="3" spans="1:4" ht="16" thickTop="1" x14ac:dyDescent="0.2">
      <c r="A3" s="10">
        <f>'1.Locations'!A3</f>
        <v>1</v>
      </c>
      <c r="B3" s="10" t="str">
        <f>'1.Locations'!B3</f>
        <v>Customer 1</v>
      </c>
      <c r="C3" s="11" t="s">
        <v>88</v>
      </c>
      <c r="D3" s="11" t="s">
        <v>88</v>
      </c>
    </row>
    <row r="4" spans="1:4" x14ac:dyDescent="0.2">
      <c r="A4" s="14">
        <f>'1.Locations'!A4</f>
        <v>2</v>
      </c>
      <c r="B4" s="14" t="str">
        <f>'1.Locations'!B4</f>
        <v>Customer 2</v>
      </c>
      <c r="C4" s="15" t="s">
        <v>88</v>
      </c>
      <c r="D4" s="15" t="s">
        <v>88</v>
      </c>
    </row>
    <row r="5" spans="1:4" x14ac:dyDescent="0.2">
      <c r="A5" s="14">
        <f>'1.Locations'!A5</f>
        <v>3</v>
      </c>
      <c r="B5" s="14" t="str">
        <f>'1.Locations'!B5</f>
        <v>Customer 3</v>
      </c>
      <c r="C5" s="18" t="s">
        <v>89</v>
      </c>
      <c r="D5" s="18" t="s">
        <v>88</v>
      </c>
    </row>
    <row r="6" spans="1:4" x14ac:dyDescent="0.2">
      <c r="A6" s="14">
        <f>'1.Locations'!A6</f>
        <v>4</v>
      </c>
      <c r="B6" s="14" t="str">
        <f>'1.Locations'!B6</f>
        <v>Customer 4</v>
      </c>
      <c r="C6" s="15" t="s">
        <v>88</v>
      </c>
      <c r="D6" s="15" t="s">
        <v>88</v>
      </c>
    </row>
    <row r="7" spans="1:4" x14ac:dyDescent="0.2">
      <c r="A7" s="14">
        <f>'1.Locations'!A7</f>
        <v>5</v>
      </c>
      <c r="B7" s="14" t="str">
        <f>'1.Locations'!B7</f>
        <v>Customer 5</v>
      </c>
      <c r="C7" s="18" t="s">
        <v>88</v>
      </c>
      <c r="D7" s="18" t="s">
        <v>88</v>
      </c>
    </row>
    <row r="8" spans="1:4" x14ac:dyDescent="0.2">
      <c r="A8" s="14">
        <f>'1.Locations'!A8</f>
        <v>6</v>
      </c>
      <c r="B8" s="14" t="str">
        <f>'1.Locations'!B8</f>
        <v>Customer 6</v>
      </c>
      <c r="C8" s="15" t="s">
        <v>88</v>
      </c>
      <c r="D8" s="15" t="s">
        <v>88</v>
      </c>
    </row>
    <row r="9" spans="1:4" x14ac:dyDescent="0.2">
      <c r="A9" s="14">
        <f>'1.Locations'!A9</f>
        <v>7</v>
      </c>
      <c r="B9" s="14" t="str">
        <f>'1.Locations'!B9</f>
        <v>Customer 7</v>
      </c>
      <c r="C9" s="18" t="s">
        <v>88</v>
      </c>
      <c r="D9" s="18" t="s">
        <v>88</v>
      </c>
    </row>
    <row r="10" spans="1:4" x14ac:dyDescent="0.2">
      <c r="A10" s="13">
        <f>'1.Locations'!A10</f>
        <v>8</v>
      </c>
      <c r="B10" s="13" t="str">
        <f>'1.Locations'!B10</f>
        <v>Customer 8</v>
      </c>
      <c r="C10" s="12" t="s">
        <v>88</v>
      </c>
      <c r="D10" s="12" t="s">
        <v>89</v>
      </c>
    </row>
  </sheetData>
  <conditionalFormatting sqref="C2:D2">
    <cfRule type="cellIs" dxfId="100" priority="1" stopIfTrue="1" operator="equal">
      <formula>"Not compatible"</formula>
    </cfRule>
  </conditionalFormatting>
  <conditionalFormatting sqref="C3:D3">
    <cfRule type="cellIs" dxfId="99" priority="2" stopIfTrue="1" operator="equal">
      <formula>"Not compatible"</formula>
    </cfRule>
  </conditionalFormatting>
  <conditionalFormatting sqref="C4:D4">
    <cfRule type="cellIs" dxfId="98" priority="3" stopIfTrue="1" operator="equal">
      <formula>"Not compatible"</formula>
    </cfRule>
  </conditionalFormatting>
  <conditionalFormatting sqref="C5:D5">
    <cfRule type="cellIs" dxfId="97" priority="4" stopIfTrue="1" operator="equal">
      <formula>"Not compatible"</formula>
    </cfRule>
  </conditionalFormatting>
  <conditionalFormatting sqref="C6:D6">
    <cfRule type="cellIs" dxfId="96" priority="5" stopIfTrue="1" operator="equal">
      <formula>"Not compatible"</formula>
    </cfRule>
  </conditionalFormatting>
  <conditionalFormatting sqref="C7:D7">
    <cfRule type="cellIs" dxfId="95" priority="6" stopIfTrue="1" operator="equal">
      <formula>"Not compatible"</formula>
    </cfRule>
  </conditionalFormatting>
  <conditionalFormatting sqref="C8:D8">
    <cfRule type="cellIs" dxfId="94" priority="7" stopIfTrue="1" operator="equal">
      <formula>"Not compatible"</formula>
    </cfRule>
  </conditionalFormatting>
  <conditionalFormatting sqref="C9:D9">
    <cfRule type="cellIs" dxfId="93" priority="8" stopIfTrue="1" operator="equal">
      <formula>"Not compatible"</formula>
    </cfRule>
  </conditionalFormatting>
  <conditionalFormatting sqref="C10:D10">
    <cfRule type="cellIs" dxfId="92" priority="9" stopIfTrue="1" operator="equal">
      <formula>"Not compatible"</formula>
    </cfRule>
  </conditionalFormatting>
  <dataValidations count="1">
    <dataValidation type="list" allowBlank="1" showInputMessage="1" showErrorMessage="1" sqref="C3:D3 C4:D4 C5:D5 C6:D6 C7:D7 C8:D8 C9:D9 C10:D10" xr:uid="{C0D64C85-425B-1842-955D-23959B280AFA}">
      <formula1>"Compatible, Not compatible"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39BCD-E612-E94F-8024-0EFAED7AFB59}">
  <dimension ref="A1:AG16"/>
  <sheetViews>
    <sheetView workbookViewId="0">
      <selection activeCell="H11" sqref="H11"/>
    </sheetView>
  </sheetViews>
  <sheetFormatPr baseColWidth="10" defaultRowHeight="15" x14ac:dyDescent="0.2"/>
  <cols>
    <col min="1" max="1" width="13.1640625" bestFit="1" customWidth="1"/>
    <col min="2" max="2" width="12.5" bestFit="1" customWidth="1"/>
    <col min="3" max="4" width="9.83203125" hidden="1" customWidth="1"/>
    <col min="5" max="5" width="11.1640625" hidden="1" customWidth="1"/>
    <col min="6" max="6" width="15.1640625" bestFit="1" customWidth="1"/>
    <col min="7" max="7" width="10.6640625" bestFit="1" customWidth="1"/>
    <col min="8" max="8" width="10.33203125" bestFit="1" customWidth="1"/>
    <col min="9" max="9" width="13.1640625" bestFit="1" customWidth="1"/>
    <col min="10" max="10" width="11.6640625" bestFit="1" customWidth="1"/>
    <col min="11" max="11" width="13.1640625" bestFit="1" customWidth="1"/>
    <col min="12" max="12" width="12.6640625" hidden="1" customWidth="1"/>
    <col min="13" max="13" width="14" hidden="1" customWidth="1"/>
    <col min="14" max="14" width="15.5" hidden="1" customWidth="1"/>
    <col min="15" max="15" width="16.83203125" hidden="1" customWidth="1"/>
    <col min="16" max="16" width="4.83203125" bestFit="1" customWidth="1"/>
    <col min="18" max="18" width="9.5" bestFit="1" customWidth="1"/>
    <col min="19" max="19" width="12.5" bestFit="1" customWidth="1"/>
    <col min="20" max="21" width="9.83203125" hidden="1" customWidth="1"/>
    <col min="22" max="22" width="11.1640625" hidden="1" customWidth="1"/>
    <col min="23" max="23" width="15.1640625" bestFit="1" customWidth="1"/>
    <col min="24" max="24" width="10.6640625" bestFit="1" customWidth="1"/>
    <col min="25" max="25" width="10.33203125" bestFit="1" customWidth="1"/>
    <col min="26" max="26" width="13.1640625" bestFit="1" customWidth="1"/>
    <col min="27" max="27" width="11.6640625" bestFit="1" customWidth="1"/>
    <col min="28" max="28" width="13.1640625" bestFit="1" customWidth="1"/>
    <col min="29" max="29" width="12.6640625" hidden="1" customWidth="1"/>
    <col min="30" max="30" width="14" hidden="1" customWidth="1"/>
    <col min="31" max="31" width="15.5" hidden="1" customWidth="1"/>
    <col min="32" max="32" width="16.83203125" hidden="1" customWidth="1"/>
    <col min="33" max="33" width="4.83203125" bestFit="1" customWidth="1"/>
  </cols>
  <sheetData>
    <row r="1" spans="1:33" s="7" customFormat="1" x14ac:dyDescent="0.2">
      <c r="A1" s="7" t="s">
        <v>90</v>
      </c>
      <c r="B1" s="72">
        <f ca="1">+I3+Z3</f>
        <v>1088.617359909387</v>
      </c>
    </row>
    <row r="2" spans="1:33" s="7" customFormat="1" x14ac:dyDescent="0.2"/>
    <row r="3" spans="1:33" s="7" customFormat="1" x14ac:dyDescent="0.2">
      <c r="A3" s="7" t="s">
        <v>102</v>
      </c>
      <c r="B3" s="7" t="s">
        <v>103</v>
      </c>
      <c r="F3" s="7" t="s">
        <v>104</v>
      </c>
      <c r="G3" s="73">
        <f>COUNTA(B6:B14)</f>
        <v>5</v>
      </c>
      <c r="H3" s="7" t="s">
        <v>105</v>
      </c>
      <c r="I3" s="74">
        <f ca="1">INDEX(K5:K14,G3 + 1)-(INDEX(F5:$F$14,G3+ 1) * '3.Vehicles'!E2)- IF(INDIRECT("G3") &gt; 1, INDIRECT("'3.Vehicles'!D2"), 0)</f>
        <v>576.69858834152694</v>
      </c>
      <c r="R3" s="7" t="s">
        <v>102</v>
      </c>
      <c r="S3" s="7" t="s">
        <v>106</v>
      </c>
      <c r="W3" s="7" t="s">
        <v>104</v>
      </c>
      <c r="X3" s="73">
        <f>COUNTA(S6:S14)</f>
        <v>5</v>
      </c>
      <c r="Y3" s="7" t="s">
        <v>105</v>
      </c>
      <c r="Z3" s="74">
        <f ca="1">INDEX(AB5:AB14,X3 + 1)-(INDEX(W5:$W$14,X3+ 1) * '3.Vehicles'!E3)- IF(INDIRECT("X3") &gt; 1, INDIRECT("'3.Vehicles'!D3"), 0)</f>
        <v>511.91877156786006</v>
      </c>
    </row>
    <row r="4" spans="1:33" s="7" customFormat="1" x14ac:dyDescent="0.2">
      <c r="A4" s="7" t="s">
        <v>91</v>
      </c>
      <c r="B4" s="7" t="s">
        <v>92</v>
      </c>
      <c r="C4" s="7" t="s">
        <v>42</v>
      </c>
      <c r="D4" s="7" t="s">
        <v>45</v>
      </c>
      <c r="E4" s="7" t="s">
        <v>46</v>
      </c>
      <c r="F4" s="7" t="s">
        <v>93</v>
      </c>
      <c r="G4" s="7" t="s">
        <v>94</v>
      </c>
      <c r="H4" s="7" t="s">
        <v>95</v>
      </c>
      <c r="I4" s="7" t="s">
        <v>96</v>
      </c>
      <c r="J4" s="7" t="s">
        <v>97</v>
      </c>
      <c r="K4" s="7" t="s">
        <v>98</v>
      </c>
      <c r="L4" s="7" t="s">
        <v>51</v>
      </c>
      <c r="M4" s="7" t="s">
        <v>52</v>
      </c>
      <c r="N4" s="7" t="s">
        <v>99</v>
      </c>
      <c r="O4" s="7" t="s">
        <v>100</v>
      </c>
      <c r="P4" s="7" t="s">
        <v>101</v>
      </c>
      <c r="R4" s="7" t="s">
        <v>91</v>
      </c>
      <c r="S4" s="7" t="s">
        <v>92</v>
      </c>
      <c r="T4" s="7" t="s">
        <v>42</v>
      </c>
      <c r="U4" s="7" t="s">
        <v>45</v>
      </c>
      <c r="V4" s="7" t="s">
        <v>46</v>
      </c>
      <c r="W4" s="7" t="s">
        <v>93</v>
      </c>
      <c r="X4" s="7" t="s">
        <v>94</v>
      </c>
      <c r="Y4" s="7" t="s">
        <v>95</v>
      </c>
      <c r="Z4" s="7" t="s">
        <v>96</v>
      </c>
      <c r="AA4" s="7" t="s">
        <v>97</v>
      </c>
      <c r="AB4" s="7" t="s">
        <v>98</v>
      </c>
      <c r="AC4" s="7" t="s">
        <v>51</v>
      </c>
      <c r="AD4" s="7" t="s">
        <v>52</v>
      </c>
      <c r="AE4" s="7" t="s">
        <v>99</v>
      </c>
      <c r="AF4" s="7" t="s">
        <v>100</v>
      </c>
      <c r="AG4" s="7" t="s">
        <v>101</v>
      </c>
    </row>
    <row r="5" spans="1:33" x14ac:dyDescent="0.2">
      <c r="A5" s="9">
        <v>0</v>
      </c>
      <c r="B5" s="9" t="str">
        <f>'1.Locations'!B2</f>
        <v>Depot</v>
      </c>
      <c r="C5" s="9">
        <f ca="1">IFERROR(MATCH(INDIRECT("B5"),'1.Locations'!B2:B10, 0) - 1," ")</f>
        <v>0</v>
      </c>
      <c r="D5" s="48">
        <f ca="1">IFERROR(IF(ISNUMBER(C5),INDEX('1.Locations'!D2:D10,C5 + 1),NA()),NA())</f>
        <v>39.099699999999999</v>
      </c>
      <c r="E5" s="48">
        <f ca="1">IFERROR(IF(ISNUMBER(C5),INDEX('1.Locations'!E2:E10,C5 + 1),NA()),NA())</f>
        <v>-94.578599999999994</v>
      </c>
      <c r="F5" s="58">
        <v>0</v>
      </c>
      <c r="G5" s="59">
        <v>0</v>
      </c>
      <c r="H5" s="60"/>
      <c r="I5" s="60">
        <f>'3.Vehicles'!H2</f>
        <v>0.33333333333333331</v>
      </c>
      <c r="J5" s="59">
        <v>0</v>
      </c>
      <c r="K5" s="48">
        <v>0</v>
      </c>
      <c r="L5" s="58">
        <v>0</v>
      </c>
      <c r="M5" s="58">
        <v>0</v>
      </c>
      <c r="N5" s="58">
        <v>0</v>
      </c>
      <c r="O5" s="58">
        <f ca="1">IFERROR(IF(ISNUMBER(C5),IF(B6 = B5, 0, IF(B6 = "", 0, O6 + M6))," ")," ")</f>
        <v>105</v>
      </c>
      <c r="P5" s="48">
        <f t="shared" ref="P5:P14" ca="1" si="0">IFERROR(IF(ISNUMBER(C5),N5 + O5," ")," ")</f>
        <v>105</v>
      </c>
      <c r="R5" s="9">
        <v>0</v>
      </c>
      <c r="S5" s="9" t="str">
        <f>'1.Locations'!B2</f>
        <v>Depot</v>
      </c>
      <c r="T5" s="9">
        <f ca="1">IFERROR(MATCH(INDIRECT("S5"),'1.Locations'!B2:B10, 0) - 1," ")</f>
        <v>0</v>
      </c>
      <c r="U5" s="48">
        <f ca="1">IFERROR(IF(ISNUMBER(T5),INDEX('1.Locations'!D2:D10,T5 + 1),NA()),NA())</f>
        <v>39.099699999999999</v>
      </c>
      <c r="V5" s="48">
        <f ca="1">IFERROR(IF(ISNUMBER(T5),INDEX('1.Locations'!E2:E10,T5 + 1),NA()),NA())</f>
        <v>-94.578599999999994</v>
      </c>
      <c r="W5" s="58">
        <v>0</v>
      </c>
      <c r="X5" s="59">
        <v>0</v>
      </c>
      <c r="Y5" s="60"/>
      <c r="Z5" s="60">
        <f>'3.Vehicles'!H3</f>
        <v>0.33333333333333331</v>
      </c>
      <c r="AA5" s="59">
        <v>0</v>
      </c>
      <c r="AB5" s="48">
        <v>0</v>
      </c>
      <c r="AC5" s="58">
        <v>0</v>
      </c>
      <c r="AD5" s="58">
        <v>0</v>
      </c>
      <c r="AE5" s="58">
        <v>0</v>
      </c>
      <c r="AF5" s="58">
        <f ca="1">IFERROR(IF(ISNUMBER(T5),IF(S6 = S5, 0, IF(S6 = "", 0, AF6 + AD6))," ")," ")</f>
        <v>105</v>
      </c>
      <c r="AG5" s="48">
        <f t="shared" ref="AG5:AG14" ca="1" si="1">IFERROR(IF(ISNUMBER(T5),AE5 + AF5," ")," ")</f>
        <v>105</v>
      </c>
    </row>
    <row r="6" spans="1:33" x14ac:dyDescent="0.2">
      <c r="A6" s="14">
        <v>1</v>
      </c>
      <c r="B6" s="66" t="s">
        <v>64</v>
      </c>
      <c r="C6" s="67">
        <f ca="1">IFERROR(MATCH(INDIRECT("B6"),'1.Locations'!B2:B10, 0) - 1," ")</f>
        <v>8</v>
      </c>
      <c r="D6" s="67">
        <f ca="1">IFERROR(IF(ISNUMBER(C6),INDEX('1.Locations'!D2:D10,C6 + 1),NA()),NA())</f>
        <v>48.239100000000001</v>
      </c>
      <c r="E6" s="67">
        <f ca="1">IFERROR(IF(ISNUMBER(C6),INDEX('1.Locations'!E2:E10,C6 + 1),NA()),NA())</f>
        <v>-102.1057</v>
      </c>
      <c r="F6" s="68">
        <f ca="1">IFERROR(IF(ISNUMBER(C6),INDEX('2.Distances'!C2:C82,C5*9+C6+ 1) +F5," ")," ")</f>
        <v>11.840011265619644</v>
      </c>
      <c r="G6" s="69">
        <f ca="1">IFERROR(IF(ISNUMBER(C6),'3.Vehicles'!F2 * INDEX('2.Distances'!D2:D82,C5*9+C6 + 1) +G5," ")," ")</f>
        <v>9.8666760546830372E-3</v>
      </c>
      <c r="H6" s="70">
        <f ca="1">IFERROR(IF(ISNUMBER(C6),'3.Vehicles'!F2 * INDEX('2.Distances'!D2:D82,C5*9+C6 + 1) +I5," ")," ")</f>
        <v>0.34320000938801637</v>
      </c>
      <c r="I6" s="70">
        <f ca="1">IFERROR(IF(AND(C5&lt;&gt;C6,ISNUMBER(H6)),INDEX('1.Locations'!I2:I10,C6 + 1) + MAX(H6,INDEX('1.Locations'!F2:F10,C6 + 1))," ")," ")</f>
        <v>0.36056112049912747</v>
      </c>
      <c r="J6" s="69">
        <f ca="1">IFERROR(IF(AND(B6 = B5, B7 = ""), H6 - I5, I6 - I5)," ")</f>
        <v>2.7227787165794159E-2</v>
      </c>
      <c r="K6" s="67">
        <f ca="1">IFERROR(IF(ISNUMBER(C6),INDEX('1.Locations'!L2:L10,C6 + 1) + K5," ")," ")</f>
        <v>220</v>
      </c>
      <c r="L6" s="68">
        <f ca="1">IFERROR(IF(ISNUMBER(C6),INDEX('1.Locations'!J2:J10,C6 + 1)," ")," ")</f>
        <v>0</v>
      </c>
      <c r="M6" s="68">
        <f ca="1">IFERROR(IF(ISNUMBER(C6),INDEX('1.Locations'!K2:K10,C6 + 1)," ")," ")</f>
        <v>55</v>
      </c>
      <c r="N6" s="68">
        <f ca="1">IFERROR(IF(ISNUMBER(C6),IF(B6 = B5, 0, L6 + N5)," ")," ")</f>
        <v>0</v>
      </c>
      <c r="O6" s="68">
        <f ca="1">IFERROR(IF(ISNUMBER(C6),IF(B7 = B5, 0, IF(B7 = "", 0, O7 + M7))," ")," ")</f>
        <v>50</v>
      </c>
      <c r="P6" s="67">
        <f t="shared" ca="1" si="0"/>
        <v>50</v>
      </c>
      <c r="R6" s="14">
        <v>1</v>
      </c>
      <c r="S6" s="66" t="s">
        <v>62</v>
      </c>
      <c r="T6" s="67">
        <f ca="1">IFERROR(MATCH(INDIRECT("S6"),'1.Locations'!B2:B10, 0) - 1," ")</f>
        <v>6</v>
      </c>
      <c r="U6" s="67">
        <f ca="1">IFERROR(IF(ISNUMBER(T6),INDEX('1.Locations'!D2:D10,T6 + 1),NA()),NA())</f>
        <v>27.653700000000001</v>
      </c>
      <c r="V6" s="67">
        <f ca="1">IFERROR(IF(ISNUMBER(T6),INDEX('1.Locations'!E2:E10,T6 + 1),NA()),NA())</f>
        <v>-98.575199999999995</v>
      </c>
      <c r="W6" s="68">
        <f ca="1">IFERROR(IF(ISNUMBER(T6),INDEX('2.Distances'!C2:C82,T5*9+T6+ 1) +W5," ")," ")</f>
        <v>12.123684570294625</v>
      </c>
      <c r="X6" s="69">
        <f ca="1">IFERROR(IF(ISNUMBER(T6),'3.Vehicles'!F3 * INDEX('2.Distances'!D2:D82,T5*9+T6 + 1) +X5," ")," ")</f>
        <v>1.010307047524552E-2</v>
      </c>
      <c r="Y6" s="70">
        <f ca="1">IFERROR(IF(ISNUMBER(T6),'3.Vehicles'!F3 * INDEX('2.Distances'!D2:D82,T5*9+T6 + 1) +Z5," ")," ")</f>
        <v>0.34343640380857882</v>
      </c>
      <c r="Z6" s="70">
        <f ca="1">IFERROR(IF(AND(T5&lt;&gt;T6,ISNUMBER(Y6)),INDEX('1.Locations'!I2:I10,T6 + 1) + MAX(Y6,INDEX('1.Locations'!F2:F10,T6 + 1))," ")," ")</f>
        <v>0.36079751491968992</v>
      </c>
      <c r="AA6" s="69">
        <f ca="1">IFERROR(IF(AND(S6 = S5, S7 = ""), Y6 - Z5, Z6 - Z5)," ")</f>
        <v>2.7464181586356606E-2</v>
      </c>
      <c r="AB6" s="67">
        <f ca="1">IFERROR(IF(ISNUMBER(T6),INDEX('1.Locations'!L2:L10,T6 + 1) + AB5," ")," ")</f>
        <v>220</v>
      </c>
      <c r="AC6" s="68">
        <f ca="1">IFERROR(IF(ISNUMBER(T6),INDEX('1.Locations'!J2:J10,T6 + 1)," ")," ")</f>
        <v>0</v>
      </c>
      <c r="AD6" s="68">
        <f ca="1">IFERROR(IF(ISNUMBER(T6),INDEX('1.Locations'!K2:K10,T6 + 1)," ")," ")</f>
        <v>45</v>
      </c>
      <c r="AE6" s="68">
        <f ca="1">IFERROR(IF(ISNUMBER(T6),IF(S6 = S5, 0, AC6 + AE5)," ")," ")</f>
        <v>0</v>
      </c>
      <c r="AF6" s="68">
        <f ca="1">IFERROR(IF(ISNUMBER(T6),IF(S7 = S5, 0, IF(S7 = "", 0, AF7 + AD7))," ")," ")</f>
        <v>60</v>
      </c>
      <c r="AG6" s="67">
        <f t="shared" ca="1" si="1"/>
        <v>60</v>
      </c>
    </row>
    <row r="7" spans="1:33" x14ac:dyDescent="0.2">
      <c r="A7" s="14">
        <v>2</v>
      </c>
      <c r="B7" s="71" t="s">
        <v>60</v>
      </c>
      <c r="C7" s="67">
        <f ca="1">IFERROR(MATCH(INDIRECT("B7"),'1.Locations'!B2:B10, 0) - 1," ")</f>
        <v>4</v>
      </c>
      <c r="D7" s="67">
        <f ca="1">IFERROR(IF(ISNUMBER(C7),INDEX('1.Locations'!D2:D10,C7 + 1),NA()),NA())</f>
        <v>39.767800000000001</v>
      </c>
      <c r="E7" s="67">
        <f ca="1">IFERROR(IF(ISNUMBER(C7),INDEX('1.Locations'!E2:E10,C7 + 1),NA()),NA())</f>
        <v>-90.556299999999993</v>
      </c>
      <c r="F7" s="68">
        <f ca="1">IFERROR(IF(ISNUMBER(C7),INDEX('2.Distances'!C2:C82,C6*9+C7+ 1) +F6," ")," ")</f>
        <v>26.163124197171925</v>
      </c>
      <c r="G7" s="69">
        <f ca="1">IFERROR(IF(ISNUMBER(C7),'3.Vehicles'!F2 * INDEX('2.Distances'!D2:D82,C6*9+C7 + 1) +G6," ")," ")</f>
        <v>2.1802603497643271E-2</v>
      </c>
      <c r="H7" s="70">
        <f ca="1">IFERROR(IF(ISNUMBER(C7),'3.Vehicles'!F2 * INDEX('2.Distances'!D2:D82,C6*9+C7 + 1) +I6," ")," ")</f>
        <v>0.37249704794208771</v>
      </c>
      <c r="I7" s="70">
        <f ca="1">IFERROR(IF(AND(C5&lt;&gt;C7,ISNUMBER(H7)),INDEX('1.Locations'!I2:I10,C7 + 1) + MAX(H7,INDEX('1.Locations'!F2:F10,C7 + 1))," ")," ")</f>
        <v>0.38985815905319882</v>
      </c>
      <c r="J7" s="69">
        <f ca="1">IFERROR(IF(AND(B7 = B5, B8 = ""), H7 - I5, I7 - I5)," ")</f>
        <v>5.6524825719865501E-2</v>
      </c>
      <c r="K7" s="67">
        <f ca="1">IFERROR(IF(ISNUMBER(C7),INDEX('1.Locations'!L2:L10,C7 + 1) + K6," ")," ")</f>
        <v>440</v>
      </c>
      <c r="L7" s="68">
        <f ca="1">IFERROR(IF(ISNUMBER(C7),INDEX('1.Locations'!J2:J10,C7 + 1)," ")," ")</f>
        <v>0</v>
      </c>
      <c r="M7" s="68">
        <f ca="1">IFERROR(IF(ISNUMBER(C7),INDEX('1.Locations'!K2:K10,C7 + 1)," ")," ")</f>
        <v>50</v>
      </c>
      <c r="N7" s="68">
        <f ca="1">IFERROR(IF(ISNUMBER(C7),IF(B7 = B5, 0, L7 + N6)," ")," ")</f>
        <v>0</v>
      </c>
      <c r="O7" s="68">
        <f ca="1">IFERROR(IF(ISNUMBER(C7),IF(B8 = B5, 0, IF(B8 = "", 0, O8 + M8))," ")," ")</f>
        <v>0</v>
      </c>
      <c r="P7" s="67">
        <f t="shared" ca="1" si="0"/>
        <v>0</v>
      </c>
      <c r="R7" s="14">
        <v>2</v>
      </c>
      <c r="S7" s="71" t="s">
        <v>58</v>
      </c>
      <c r="T7" s="67">
        <f ca="1">IFERROR(MATCH(INDIRECT("S7"),'1.Locations'!B2:B10, 0) - 1," ")</f>
        <v>2</v>
      </c>
      <c r="U7" s="67">
        <f ca="1">IFERROR(IF(ISNUMBER(T7),INDEX('1.Locations'!D2:D10,T7 + 1),NA()),NA())</f>
        <v>34.993099999999998</v>
      </c>
      <c r="V7" s="67">
        <f ca="1">IFERROR(IF(ISNUMBER(T7),INDEX('1.Locations'!E2:E10,T7 + 1),NA()),NA())</f>
        <v>-113.02809999999999</v>
      </c>
      <c r="W7" s="68">
        <f ca="1">IFERROR(IF(ISNUMBER(T7),INDEX('2.Distances'!C2:C82,T6*9+T7+ 1) +W6," ")," ")</f>
        <v>28.333345602222465</v>
      </c>
      <c r="X7" s="69">
        <f ca="1">IFERROR(IF(ISNUMBER(T7),'3.Vehicles'!F3 * INDEX('2.Distances'!D2:D82,T6*9+T7 + 1) +X6," ")," ")</f>
        <v>2.3611121335185385E-2</v>
      </c>
      <c r="Y7" s="70">
        <f ca="1">IFERROR(IF(ISNUMBER(T7),'3.Vehicles'!F3 * INDEX('2.Distances'!D2:D82,T6*9+T7 + 1) +Z6," ")," ")</f>
        <v>0.37430556577962981</v>
      </c>
      <c r="Z7" s="70">
        <f ca="1">IFERROR(IF(AND(T5&lt;&gt;T7,ISNUMBER(Y7)),INDEX('1.Locations'!I2:I10,T7 + 1) + MAX(Y7,INDEX('1.Locations'!F2:F10,T7 + 1))," ")," ")</f>
        <v>0.39166667689074092</v>
      </c>
      <c r="AA7" s="69">
        <f ca="1">IFERROR(IF(AND(S7 = S5, S8 = ""), Y7 - Z5, Z7 - Z5)," ")</f>
        <v>5.8333343557407602E-2</v>
      </c>
      <c r="AB7" s="67">
        <f ca="1">IFERROR(IF(ISNUMBER(T7),INDEX('1.Locations'!L2:L10,T7 + 1) + AB6," ")," ")</f>
        <v>440</v>
      </c>
      <c r="AC7" s="68">
        <f ca="1">IFERROR(IF(ISNUMBER(T7),INDEX('1.Locations'!J2:J10,T7 + 1)," ")," ")</f>
        <v>0</v>
      </c>
      <c r="AD7" s="68">
        <f ca="1">IFERROR(IF(ISNUMBER(T7),INDEX('1.Locations'!K2:K10,T7 + 1)," ")," ")</f>
        <v>60</v>
      </c>
      <c r="AE7" s="68">
        <f ca="1">IFERROR(IF(ISNUMBER(T7),IF(S7 = S5, 0, AC7 + AE6)," ")," ")</f>
        <v>0</v>
      </c>
      <c r="AF7" s="68">
        <f ca="1">IFERROR(IF(ISNUMBER(T7),IF(S8 = S5, 0, IF(S8 = "", 0, AF8 + AD8))," ")," ")</f>
        <v>0</v>
      </c>
      <c r="AG7" s="67">
        <f t="shared" ca="1" si="1"/>
        <v>0</v>
      </c>
    </row>
    <row r="8" spans="1:33" x14ac:dyDescent="0.2">
      <c r="A8" s="14">
        <v>3</v>
      </c>
      <c r="B8" s="66" t="s">
        <v>63</v>
      </c>
      <c r="C8" s="67">
        <f ca="1">IFERROR(MATCH(INDIRECT("B8"),'1.Locations'!B2:B10, 0) - 1," ")</f>
        <v>7</v>
      </c>
      <c r="D8" s="67">
        <f ca="1">IFERROR(IF(ISNUMBER(C8),INDEX('1.Locations'!D2:D10,C8 + 1),NA()),NA())</f>
        <v>38.907200000000003</v>
      </c>
      <c r="E8" s="67">
        <f ca="1">IFERROR(IF(ISNUMBER(C8),INDEX('1.Locations'!E2:E10,C8 + 1),NA()),NA())</f>
        <v>-77.036900000000003</v>
      </c>
      <c r="F8" s="68">
        <f ca="1">IFERROR(IF(ISNUMBER(C8),INDEX('2.Distances'!C2:C82,C7*9+C8+ 1) +F7," ")," ")</f>
        <v>39.709887970117833</v>
      </c>
      <c r="G8" s="69">
        <f ca="1">IFERROR(IF(ISNUMBER(C8),'3.Vehicles'!F2 * INDEX('2.Distances'!D2:D82,C7*9+C8 + 1) +G7," ")," ")</f>
        <v>3.3091573308431529E-2</v>
      </c>
      <c r="H8" s="70">
        <f ca="1">IFERROR(IF(ISNUMBER(C8),'3.Vehicles'!F2 * INDEX('2.Distances'!D2:D82,C7*9+C8 + 1) +I7," ")," ")</f>
        <v>0.40114712886398707</v>
      </c>
      <c r="I8" s="70">
        <f ca="1">IFERROR(IF(AND(C5&lt;&gt;C8,ISNUMBER(H8)),INDEX('1.Locations'!I2:I10,C8 + 1) + MAX(H8,INDEX('1.Locations'!F2:F10,C8 + 1))," ")," ")</f>
        <v>0.41850823997509817</v>
      </c>
      <c r="J8" s="69">
        <f ca="1">IFERROR(IF(AND(B8 = B5, B9 = ""), H8 - I5, I8 - I5)," ")</f>
        <v>8.5174906641764858E-2</v>
      </c>
      <c r="K8" s="67">
        <f ca="1">IFERROR(IF(ISNUMBER(C8),INDEX('1.Locations'!L2:L10,C8 + 1) + K7," ")," ")</f>
        <v>620</v>
      </c>
      <c r="L8" s="68">
        <f ca="1">IFERROR(IF(ISNUMBER(C8),INDEX('1.Locations'!J2:J10,C8 + 1)," ")," ")</f>
        <v>50</v>
      </c>
      <c r="M8" s="68">
        <f ca="1">IFERROR(IF(ISNUMBER(C8),INDEX('1.Locations'!K2:K10,C8 + 1)," ")," ")</f>
        <v>0</v>
      </c>
      <c r="N8" s="68">
        <f ca="1">IFERROR(IF(ISNUMBER(C8),IF(B8 = B5, 0, L8 + N7)," ")," ")</f>
        <v>50</v>
      </c>
      <c r="O8" s="68">
        <f ca="1">IFERROR(IF(ISNUMBER(C8),IF(B9 = B5, 0, IF(B9 = "", 0, O9 + M9))," ")," ")</f>
        <v>0</v>
      </c>
      <c r="P8" s="67">
        <f t="shared" ca="1" si="0"/>
        <v>50</v>
      </c>
      <c r="R8" s="14">
        <v>3</v>
      </c>
      <c r="S8" s="66" t="s">
        <v>56</v>
      </c>
      <c r="T8" s="67">
        <f ca="1">IFERROR(MATCH(INDIRECT("S8"),'1.Locations'!B2:B10, 0) - 1," ")</f>
        <v>1</v>
      </c>
      <c r="U8" s="67">
        <f ca="1">IFERROR(IF(ISNUMBER(T8),INDEX('1.Locations'!D2:D10,T8 + 1),NA()),NA())</f>
        <v>47.606200000000001</v>
      </c>
      <c r="V8" s="67">
        <f ca="1">IFERROR(IF(ISNUMBER(T8),INDEX('1.Locations'!E2:E10,T8 + 1),NA()),NA())</f>
        <v>-122.3321</v>
      </c>
      <c r="W8" s="68">
        <f ca="1">IFERROR(IF(ISNUMBER(T8),INDEX('2.Distances'!C2:C82,T7*9+T8+ 1) +W7," ")," ")</f>
        <v>44.006721358899782</v>
      </c>
      <c r="X8" s="69">
        <f ca="1">IFERROR(IF(ISNUMBER(T8),'3.Vehicles'!F3 * INDEX('2.Distances'!D2:D82,T7*9+T8 + 1) +X7," ")," ")</f>
        <v>3.6672267799083148E-2</v>
      </c>
      <c r="Y8" s="70">
        <f ca="1">IFERROR(IF(ISNUMBER(T8),'3.Vehicles'!F3 * INDEX('2.Distances'!D2:D82,T7*9+T8 + 1) +Z7," ")," ")</f>
        <v>0.40472782335463869</v>
      </c>
      <c r="Z8" s="70">
        <f ca="1">IFERROR(IF(AND(T5&lt;&gt;T8,ISNUMBER(Y8)),INDEX('1.Locations'!I2:I10,T8 + 1) + MAX(Y8,INDEX('1.Locations'!F2:F10,T8 + 1))," ")," ")</f>
        <v>0.4220889344657498</v>
      </c>
      <c r="AA8" s="69">
        <f ca="1">IFERROR(IF(AND(S8 = S5, S9 = ""), Y8 - Z5, Z8 - Z5)," ")</f>
        <v>8.8755601132416484E-2</v>
      </c>
      <c r="AB8" s="67">
        <f ca="1">IFERROR(IF(ISNUMBER(T8),INDEX('1.Locations'!L2:L10,T8 + 1) + AB7," ")," ")</f>
        <v>620</v>
      </c>
      <c r="AC8" s="68">
        <f ca="1">IFERROR(IF(ISNUMBER(T8),INDEX('1.Locations'!J2:J10,T8 + 1)," ")," ")</f>
        <v>45</v>
      </c>
      <c r="AD8" s="68">
        <f ca="1">IFERROR(IF(ISNUMBER(T8),INDEX('1.Locations'!K2:K10,T8 + 1)," ")," ")</f>
        <v>0</v>
      </c>
      <c r="AE8" s="68">
        <f ca="1">IFERROR(IF(ISNUMBER(T8),IF(S8 = S5, 0, AC8 + AE7)," ")," ")</f>
        <v>45</v>
      </c>
      <c r="AF8" s="68">
        <f ca="1">IFERROR(IF(ISNUMBER(T8),IF(S9 = S5, 0, IF(S9 = "", 0, AF9 + AD9))," ")," ")</f>
        <v>0</v>
      </c>
      <c r="AG8" s="67">
        <f t="shared" ca="1" si="1"/>
        <v>45</v>
      </c>
    </row>
    <row r="9" spans="1:33" x14ac:dyDescent="0.2">
      <c r="A9" s="14">
        <v>4</v>
      </c>
      <c r="B9" s="71" t="s">
        <v>61</v>
      </c>
      <c r="C9" s="67">
        <f ca="1">IFERROR(MATCH(INDIRECT("B9"),'1.Locations'!B2:B10, 0) - 1," ")</f>
        <v>5</v>
      </c>
      <c r="D9" s="67">
        <f ca="1">IFERROR(IF(ISNUMBER(C9),INDEX('1.Locations'!D2:D10,C9 + 1),NA()),NA())</f>
        <v>33.0002</v>
      </c>
      <c r="E9" s="67">
        <f ca="1">IFERROR(IF(ISNUMBER(C9),INDEX('1.Locations'!E2:E10,C9 + 1),NA()),NA())</f>
        <v>-87.6297</v>
      </c>
      <c r="F9" s="68">
        <f ca="1">IFERROR(IF(ISNUMBER(C9),INDEX('2.Distances'!C2:C82,C8*9+C9+ 1) +F8," ")," ")</f>
        <v>51.838369360629997</v>
      </c>
      <c r="G9" s="69">
        <f ca="1">IFERROR(IF(ISNUMBER(C9),'3.Vehicles'!F2 * INDEX('2.Distances'!D2:D82,C8*9+C9 + 1) +G8," ")," ")</f>
        <v>4.3198641133858337E-2</v>
      </c>
      <c r="H9" s="70">
        <f ca="1">IFERROR(IF(ISNUMBER(C9),'3.Vehicles'!F2 * INDEX('2.Distances'!D2:D82,C8*9+C9 + 1) +I8," ")," ")</f>
        <v>0.42861530780052498</v>
      </c>
      <c r="I9" s="70">
        <f ca="1">IFERROR(IF(AND(C5&lt;&gt;C9,ISNUMBER(H9)),INDEX('1.Locations'!I2:I10,C9 + 1) + MAX(H9,INDEX('1.Locations'!F2:F10,C9 + 1))," ")," ")</f>
        <v>0.44597641891163609</v>
      </c>
      <c r="J9" s="69">
        <f ca="1">IFERROR(IF(AND(B9 = B5, B10 = ""), H9 - I5, I9 - I5)," ")</f>
        <v>0.11264308557830277</v>
      </c>
      <c r="K9" s="67">
        <f ca="1">IFERROR(IF(ISNUMBER(C9),INDEX('1.Locations'!L2:L10,C9 + 1) + K8," ")," ")</f>
        <v>800</v>
      </c>
      <c r="L9" s="68">
        <f ca="1">IFERROR(IF(ISNUMBER(C9),INDEX('1.Locations'!J2:J10,C9 + 1)," ")," ")</f>
        <v>30</v>
      </c>
      <c r="M9" s="68">
        <f ca="1">IFERROR(IF(ISNUMBER(C9),INDEX('1.Locations'!K2:K10,C9 + 1)," ")," ")</f>
        <v>0</v>
      </c>
      <c r="N9" s="68">
        <f ca="1">IFERROR(IF(ISNUMBER(C9),IF(B9 = B5, 0, L9 + N8)," ")," ")</f>
        <v>80</v>
      </c>
      <c r="O9" s="68">
        <f ca="1">IFERROR(IF(ISNUMBER(C9),IF(B10 = B5, 0, IF(B10 = "", 0, O10 + M10))," ")," ")</f>
        <v>0</v>
      </c>
      <c r="P9" s="67">
        <f t="shared" ca="1" si="0"/>
        <v>80</v>
      </c>
      <c r="R9" s="14">
        <v>4</v>
      </c>
      <c r="S9" s="71" t="s">
        <v>59</v>
      </c>
      <c r="T9" s="67">
        <f ca="1">IFERROR(MATCH(INDIRECT("S9"),'1.Locations'!B2:B10, 0) - 1," ")</f>
        <v>3</v>
      </c>
      <c r="U9" s="67">
        <f ca="1">IFERROR(IF(ISNUMBER(T9),INDEX('1.Locations'!D2:D10,T9 + 1),NA()),NA())</f>
        <v>45.783299999999997</v>
      </c>
      <c r="V9" s="67">
        <f ca="1">IFERROR(IF(ISNUMBER(T9),INDEX('1.Locations'!E2:E10,T9 + 1),NA()),NA())</f>
        <v>-108.50069999999999</v>
      </c>
      <c r="W9" s="68">
        <f ca="1">IFERROR(IF(ISNUMBER(T9),INDEX('2.Distances'!C2:C82,T8*9+T9+ 1) +W8," ")," ")</f>
        <v>57.95772814586681</v>
      </c>
      <c r="X9" s="69">
        <f ca="1">IFERROR(IF(ISNUMBER(T9),'3.Vehicles'!F3 * INDEX('2.Distances'!D2:D82,T8*9+T9 + 1) +X8," ")," ")</f>
        <v>4.8298106788222342E-2</v>
      </c>
      <c r="Y9" s="70">
        <f ca="1">IFERROR(IF(ISNUMBER(T9),'3.Vehicles'!F3 * INDEX('2.Distances'!D2:D82,T8*9+T9 + 1) +Z8," ")," ")</f>
        <v>0.43371477345488901</v>
      </c>
      <c r="Z9" s="70">
        <f ca="1">IFERROR(IF(AND(T5&lt;&gt;T9,ISNUMBER(Y9)),INDEX('1.Locations'!I2:I10,T9 + 1) + MAX(Y9,INDEX('1.Locations'!F2:F10,T9 + 1))," ")," ")</f>
        <v>0.45107588456600012</v>
      </c>
      <c r="AA9" s="69">
        <f ca="1">IFERROR(IF(AND(S9 = S5, S10 = ""), Y9 - Z5, Z9 - Z5)," ")</f>
        <v>0.1177425512326668</v>
      </c>
      <c r="AB9" s="67">
        <f ca="1">IFERROR(IF(ISNUMBER(T9),INDEX('1.Locations'!L2:L10,T9 + 1) + AB8," ")," ")</f>
        <v>800</v>
      </c>
      <c r="AC9" s="68">
        <f ca="1">IFERROR(IF(ISNUMBER(T9),INDEX('1.Locations'!J2:J10,T9 + 1)," ")," ")</f>
        <v>55</v>
      </c>
      <c r="AD9" s="68">
        <f ca="1">IFERROR(IF(ISNUMBER(T9),INDEX('1.Locations'!K2:K10,T9 + 1)," ")," ")</f>
        <v>0</v>
      </c>
      <c r="AE9" s="68">
        <f ca="1">IFERROR(IF(ISNUMBER(T9),IF(S9 = S5, 0, AC9 + AE8)," ")," ")</f>
        <v>100</v>
      </c>
      <c r="AF9" s="68">
        <f ca="1">IFERROR(IF(ISNUMBER(T9),IF(S10 = S5, 0, IF(S10 = "", 0, AF10 + AD10))," ")," ")</f>
        <v>0</v>
      </c>
      <c r="AG9" s="67">
        <f t="shared" ca="1" si="1"/>
        <v>100</v>
      </c>
    </row>
    <row r="10" spans="1:33" x14ac:dyDescent="0.2">
      <c r="A10" s="14">
        <v>5</v>
      </c>
      <c r="B10" s="66" t="s">
        <v>54</v>
      </c>
      <c r="C10" s="67">
        <f ca="1">IFERROR(MATCH(INDIRECT("B10"),'1.Locations'!B2:B10, 0) - 1," ")</f>
        <v>0</v>
      </c>
      <c r="D10" s="67">
        <f ca="1">IFERROR(IF(ISNUMBER(C10),INDEX('1.Locations'!D2:D10,C10 + 1),NA()),NA())</f>
        <v>39.099699999999999</v>
      </c>
      <c r="E10" s="67">
        <f ca="1">IFERROR(IF(ISNUMBER(C10),INDEX('1.Locations'!E2:E10,C10 + 1),NA()),NA())</f>
        <v>-94.578599999999994</v>
      </c>
      <c r="F10" s="68">
        <f ca="1">IFERROR(IF(ISNUMBER(C10),INDEX('2.Distances'!C2:C82,C9*9+C10+ 1) +F9," ")," ")</f>
        <v>61.084509715394248</v>
      </c>
      <c r="G10" s="69">
        <f ca="1">IFERROR(IF(ISNUMBER(C10),'3.Vehicles'!F2 * INDEX('2.Distances'!D2:D82,C9*9+C10 + 1) +G9," ")," ")</f>
        <v>5.0903758096161877E-2</v>
      </c>
      <c r="H10" s="70">
        <f ca="1">IFERROR(IF(ISNUMBER(C10),'3.Vehicles'!F2 * INDEX('2.Distances'!D2:D82,C9*9+C10 + 1) +I9," ")," ")</f>
        <v>0.45368153587393961</v>
      </c>
      <c r="I10" s="70" t="str">
        <f ca="1">IFERROR(IF(AND(C5&lt;&gt;C10,ISNUMBER(H10)),INDEX('1.Locations'!I2:I10,C10 + 1) + MAX(H10,INDEX('1.Locations'!F2:F10,C10 + 1))," ")," ")</f>
        <v xml:space="preserve"> </v>
      </c>
      <c r="J10" s="69">
        <f ca="1">IFERROR(IF(AND(B10 = B5, B11 = ""), H10 - I5, I10 - I5)," ")</f>
        <v>0.1203482025406063</v>
      </c>
      <c r="K10" s="67">
        <f ca="1">IFERROR(IF(ISNUMBER(C10),INDEX('1.Locations'!L2:L10,C10 + 1) + K9," ")," ")</f>
        <v>800</v>
      </c>
      <c r="L10" s="68">
        <f ca="1">IFERROR(IF(ISNUMBER(C10),INDEX('1.Locations'!J2:J10,C10 + 1)," ")," ")</f>
        <v>0</v>
      </c>
      <c r="M10" s="68">
        <f ca="1">IFERROR(IF(ISNUMBER(C10),INDEX('1.Locations'!K2:K10,C10 + 1)," ")," ")</f>
        <v>0</v>
      </c>
      <c r="N10" s="68">
        <f ca="1">IFERROR(IF(ISNUMBER(C10),IF(B10 = B5, 0, L10 + N9)," ")," ")</f>
        <v>0</v>
      </c>
      <c r="O10" s="68">
        <f ca="1">IFERROR(IF(ISNUMBER(C10),IF(B11 = B5, 0, IF(B11 = "", 0, O11 + M11))," ")," ")</f>
        <v>0</v>
      </c>
      <c r="P10" s="67">
        <f t="shared" ca="1" si="0"/>
        <v>0</v>
      </c>
      <c r="R10" s="14">
        <v>5</v>
      </c>
      <c r="S10" s="66" t="s">
        <v>54</v>
      </c>
      <c r="T10" s="67">
        <f ca="1">IFERROR(MATCH(INDIRECT("S10"),'1.Locations'!B2:B10, 0) - 1," ")</f>
        <v>0</v>
      </c>
      <c r="U10" s="67">
        <f ca="1">IFERROR(IF(ISNUMBER(T10),INDEX('1.Locations'!D2:D10,T10 + 1),NA()),NA())</f>
        <v>39.099699999999999</v>
      </c>
      <c r="V10" s="67">
        <f ca="1">IFERROR(IF(ISNUMBER(T10),INDEX('1.Locations'!E2:E10,T10 + 1),NA()),NA())</f>
        <v>-94.578599999999994</v>
      </c>
      <c r="W10" s="68">
        <f ca="1">IFERROR(IF(ISNUMBER(T10),INDEX('2.Distances'!C2:C82,T9*9+T10+ 1) +W9," ")," ")</f>
        <v>73.401023693449915</v>
      </c>
      <c r="X10" s="69">
        <f ca="1">IFERROR(IF(ISNUMBER(T10),'3.Vehicles'!F3 * INDEX('2.Distances'!D2:D82,T9*9+T10 + 1) +X9," ")," ")</f>
        <v>6.1167519744541592E-2</v>
      </c>
      <c r="Y10" s="70">
        <f ca="1">IFERROR(IF(ISNUMBER(T10),'3.Vehicles'!F3 * INDEX('2.Distances'!D2:D82,T9*9+T10 + 1) +Z9," ")," ")</f>
        <v>0.46394529752231939</v>
      </c>
      <c r="Z10" s="70" t="str">
        <f ca="1">IFERROR(IF(AND(T5&lt;&gt;T10,ISNUMBER(Y10)),INDEX('1.Locations'!I2:I10,T10 + 1) + MAX(Y10,INDEX('1.Locations'!F2:F10,T10 + 1))," ")," ")</f>
        <v xml:space="preserve"> </v>
      </c>
      <c r="AA10" s="69">
        <f ca="1">IFERROR(IF(AND(S10 = S5, S11 = ""), Y10 - Z5, Z10 - Z5)," ")</f>
        <v>0.13061196418898607</v>
      </c>
      <c r="AB10" s="67">
        <f ca="1">IFERROR(IF(ISNUMBER(T10),INDEX('1.Locations'!L2:L10,T10 + 1) + AB9," ")," ")</f>
        <v>800</v>
      </c>
      <c r="AC10" s="68">
        <f ca="1">IFERROR(IF(ISNUMBER(T10),INDEX('1.Locations'!J2:J10,T10 + 1)," ")," ")</f>
        <v>0</v>
      </c>
      <c r="AD10" s="68">
        <f ca="1">IFERROR(IF(ISNUMBER(T10),INDEX('1.Locations'!K2:K10,T10 + 1)," ")," ")</f>
        <v>0</v>
      </c>
      <c r="AE10" s="68">
        <f ca="1">IFERROR(IF(ISNUMBER(T10),IF(S10 = S5, 0, AC10 + AE9)," ")," ")</f>
        <v>0</v>
      </c>
      <c r="AF10" s="68">
        <f ca="1">IFERROR(IF(ISNUMBER(T10),IF(S11 = S5, 0, IF(S11 = "", 0, AF11 + AD11))," ")," ")</f>
        <v>0</v>
      </c>
      <c r="AG10" s="67">
        <f t="shared" ca="1" si="1"/>
        <v>0</v>
      </c>
    </row>
    <row r="11" spans="1:33" x14ac:dyDescent="0.2">
      <c r="A11" s="14">
        <v>6</v>
      </c>
      <c r="B11" s="71"/>
      <c r="C11" s="67" t="str">
        <f ca="1">IFERROR(MATCH(INDIRECT("B11"),'1.Locations'!B2:B10, 0) - 1," ")</f>
        <v xml:space="preserve"> </v>
      </c>
      <c r="D11" s="67" t="e">
        <f ca="1">IFERROR(IF(ISNUMBER(C11),INDEX('1.Locations'!D2:D10,C11 + 1),NA()),NA())</f>
        <v>#N/A</v>
      </c>
      <c r="E11" s="67" t="e">
        <f ca="1">IFERROR(IF(ISNUMBER(C11),INDEX('1.Locations'!E2:E10,C11 + 1),NA()),NA())</f>
        <v>#N/A</v>
      </c>
      <c r="F11" s="68" t="str">
        <f ca="1">IFERROR(IF(ISNUMBER(C11),INDEX('2.Distances'!C2:C82,C10*9+C11+ 1) +F10," ")," ")</f>
        <v xml:space="preserve"> </v>
      </c>
      <c r="G11" s="69" t="str">
        <f ca="1">IFERROR(IF(ISNUMBER(C11),'3.Vehicles'!F2 * INDEX('2.Distances'!D2:D82,C10*9+C11 + 1) +G10," ")," ")</f>
        <v xml:space="preserve"> </v>
      </c>
      <c r="H11" s="70" t="str">
        <f ca="1">IFERROR(IF(ISNUMBER(C11),'3.Vehicles'!F2 * INDEX('2.Distances'!D2:D82,C10*9+C11 + 1) +I10," ")," ")</f>
        <v xml:space="preserve"> </v>
      </c>
      <c r="I11" s="70" t="str">
        <f ca="1">IFERROR(IF(AND(C5&lt;&gt;C11,ISNUMBER(H11)),INDEX('1.Locations'!I2:I10,C11 + 1) + MAX(H11,INDEX('1.Locations'!F2:F10,C11 + 1))," ")," ")</f>
        <v xml:space="preserve"> </v>
      </c>
      <c r="J11" s="69" t="str">
        <f ca="1">IFERROR(IF(AND(B11 = B5, B12 = ""), H11 - I5, I11 - I5)," ")</f>
        <v xml:space="preserve"> </v>
      </c>
      <c r="K11" s="67" t="str">
        <f ca="1">IFERROR(IF(ISNUMBER(C11),INDEX('1.Locations'!L2:L10,C11 + 1) + K10," ")," ")</f>
        <v xml:space="preserve"> </v>
      </c>
      <c r="L11" s="68" t="str">
        <f ca="1">IFERROR(IF(ISNUMBER(C11),INDEX('1.Locations'!J2:J10,C11 + 1)," ")," ")</f>
        <v xml:space="preserve"> </v>
      </c>
      <c r="M11" s="68" t="str">
        <f ca="1">IFERROR(IF(ISNUMBER(C11),INDEX('1.Locations'!K2:K10,C11 + 1)," ")," ")</f>
        <v xml:space="preserve"> </v>
      </c>
      <c r="N11" s="68" t="str">
        <f ca="1">IFERROR(IF(ISNUMBER(C11),IF(B11 = B5, 0, L11 + N10)," ")," ")</f>
        <v xml:space="preserve"> </v>
      </c>
      <c r="O11" s="68" t="str">
        <f ca="1">IFERROR(IF(ISNUMBER(C11),IF(B12 = B5, 0, IF(B12 = "", 0, O12 + M12))," ")," ")</f>
        <v xml:space="preserve"> </v>
      </c>
      <c r="P11" s="67" t="str">
        <f t="shared" ca="1" si="0"/>
        <v xml:space="preserve"> </v>
      </c>
      <c r="R11" s="14">
        <v>6</v>
      </c>
      <c r="S11" s="71"/>
      <c r="T11" s="67" t="str">
        <f ca="1">IFERROR(MATCH(INDIRECT("S11"),'1.Locations'!B2:B10, 0) - 1," ")</f>
        <v xml:space="preserve"> </v>
      </c>
      <c r="U11" s="67" t="e">
        <f ca="1">IFERROR(IF(ISNUMBER(T11),INDEX('1.Locations'!D2:D10,T11 + 1),NA()),NA())</f>
        <v>#N/A</v>
      </c>
      <c r="V11" s="67" t="e">
        <f ca="1">IFERROR(IF(ISNUMBER(T11),INDEX('1.Locations'!E2:E10,T11 + 1),NA()),NA())</f>
        <v>#N/A</v>
      </c>
      <c r="W11" s="68" t="str">
        <f ca="1">IFERROR(IF(ISNUMBER(T11),INDEX('2.Distances'!C2:C82,T10*9+T11+ 1) +W10," ")," ")</f>
        <v xml:space="preserve"> </v>
      </c>
      <c r="X11" s="69" t="str">
        <f ca="1">IFERROR(IF(ISNUMBER(T11),'3.Vehicles'!F3 * INDEX('2.Distances'!D2:D82,T10*9+T11 + 1) +X10," ")," ")</f>
        <v xml:space="preserve"> </v>
      </c>
      <c r="Y11" s="70" t="str">
        <f ca="1">IFERROR(IF(ISNUMBER(T11),'3.Vehicles'!F3 * INDEX('2.Distances'!D2:D82,T10*9+T11 + 1) +Z10," ")," ")</f>
        <v xml:space="preserve"> </v>
      </c>
      <c r="Z11" s="70" t="str">
        <f ca="1">IFERROR(IF(AND(T5&lt;&gt;T11,ISNUMBER(Y11)),INDEX('1.Locations'!I2:I10,T11 + 1) + MAX(Y11,INDEX('1.Locations'!F2:F10,T11 + 1))," ")," ")</f>
        <v xml:space="preserve"> </v>
      </c>
      <c r="AA11" s="69" t="str">
        <f ca="1">IFERROR(IF(AND(S11 = S5, S12 = ""), Y11 - Z5, Z11 - Z5)," ")</f>
        <v xml:space="preserve"> </v>
      </c>
      <c r="AB11" s="67" t="str">
        <f ca="1">IFERROR(IF(ISNUMBER(T11),INDEX('1.Locations'!L2:L10,T11 + 1) + AB10," ")," ")</f>
        <v xml:space="preserve"> </v>
      </c>
      <c r="AC11" s="68" t="str">
        <f ca="1">IFERROR(IF(ISNUMBER(T11),INDEX('1.Locations'!J2:J10,T11 + 1)," ")," ")</f>
        <v xml:space="preserve"> </v>
      </c>
      <c r="AD11" s="68" t="str">
        <f ca="1">IFERROR(IF(ISNUMBER(T11),INDEX('1.Locations'!K2:K10,T11 + 1)," ")," ")</f>
        <v xml:space="preserve"> </v>
      </c>
      <c r="AE11" s="68" t="str">
        <f ca="1">IFERROR(IF(ISNUMBER(T11),IF(S11 = S5, 0, AC11 + AE10)," ")," ")</f>
        <v xml:space="preserve"> </v>
      </c>
      <c r="AF11" s="68" t="str">
        <f ca="1">IFERROR(IF(ISNUMBER(T11),IF(S12 = S5, 0, IF(S12 = "", 0, AF12 + AD12))," ")," ")</f>
        <v xml:space="preserve"> </v>
      </c>
      <c r="AG11" s="67" t="str">
        <f t="shared" ca="1" si="1"/>
        <v xml:space="preserve"> </v>
      </c>
    </row>
    <row r="12" spans="1:33" x14ac:dyDescent="0.2">
      <c r="A12" s="14">
        <v>7</v>
      </c>
      <c r="B12" s="66"/>
      <c r="C12" s="67" t="str">
        <f ca="1">IFERROR(MATCH(INDIRECT("B12"),'1.Locations'!B2:B10, 0) - 1," ")</f>
        <v xml:space="preserve"> </v>
      </c>
      <c r="D12" s="67" t="e">
        <f ca="1">IFERROR(IF(ISNUMBER(C12),INDEX('1.Locations'!D2:D10,C12 + 1),NA()),NA())</f>
        <v>#N/A</v>
      </c>
      <c r="E12" s="67" t="e">
        <f ca="1">IFERROR(IF(ISNUMBER(C12),INDEX('1.Locations'!E2:E10,C12 + 1),NA()),NA())</f>
        <v>#N/A</v>
      </c>
      <c r="F12" s="68" t="str">
        <f ca="1">IFERROR(IF(ISNUMBER(C12),INDEX('2.Distances'!C2:C82,C11*9+C12+ 1) +F11," ")," ")</f>
        <v xml:space="preserve"> </v>
      </c>
      <c r="G12" s="69" t="str">
        <f ca="1">IFERROR(IF(ISNUMBER(C12),'3.Vehicles'!F2 * INDEX('2.Distances'!D2:D82,C11*9+C12 + 1) +G11," ")," ")</f>
        <v xml:space="preserve"> </v>
      </c>
      <c r="H12" s="70" t="str">
        <f ca="1">IFERROR(IF(ISNUMBER(C12),'3.Vehicles'!F2 * INDEX('2.Distances'!D2:D82,C11*9+C12 + 1) +I11," ")," ")</f>
        <v xml:space="preserve"> </v>
      </c>
      <c r="I12" s="70" t="str">
        <f ca="1">IFERROR(IF(AND(C5&lt;&gt;C12,ISNUMBER(H12)),INDEX('1.Locations'!I2:I10,C12 + 1) + MAX(H12,INDEX('1.Locations'!F2:F10,C12 + 1))," ")," ")</f>
        <v xml:space="preserve"> </v>
      </c>
      <c r="J12" s="69" t="str">
        <f ca="1">IFERROR(IF(AND(B12 = B5, B13 = ""), H12 - I5, I12 - I5)," ")</f>
        <v xml:space="preserve"> </v>
      </c>
      <c r="K12" s="67" t="str">
        <f ca="1">IFERROR(IF(ISNUMBER(C12),INDEX('1.Locations'!L2:L10,C12 + 1) + K11," ")," ")</f>
        <v xml:space="preserve"> </v>
      </c>
      <c r="L12" s="68" t="str">
        <f ca="1">IFERROR(IF(ISNUMBER(C12),INDEX('1.Locations'!J2:J10,C12 + 1)," ")," ")</f>
        <v xml:space="preserve"> </v>
      </c>
      <c r="M12" s="68" t="str">
        <f ca="1">IFERROR(IF(ISNUMBER(C12),INDEX('1.Locations'!K2:K10,C12 + 1)," ")," ")</f>
        <v xml:space="preserve"> </v>
      </c>
      <c r="N12" s="68" t="str">
        <f ca="1">IFERROR(IF(ISNUMBER(C12),IF(B12 = B5, 0, L12 + N11)," ")," ")</f>
        <v xml:space="preserve"> </v>
      </c>
      <c r="O12" s="68" t="str">
        <f ca="1">IFERROR(IF(ISNUMBER(C12),IF(B13 = B5, 0, IF(B13 = "", 0, O13 + M13))," ")," ")</f>
        <v xml:space="preserve"> </v>
      </c>
      <c r="P12" s="67" t="str">
        <f t="shared" ca="1" si="0"/>
        <v xml:space="preserve"> </v>
      </c>
      <c r="R12" s="14">
        <v>7</v>
      </c>
      <c r="S12" s="66"/>
      <c r="T12" s="67" t="str">
        <f ca="1">IFERROR(MATCH(INDIRECT("S12"),'1.Locations'!B2:B10, 0) - 1," ")</f>
        <v xml:space="preserve"> </v>
      </c>
      <c r="U12" s="67" t="e">
        <f ca="1">IFERROR(IF(ISNUMBER(T12),INDEX('1.Locations'!D2:D10,T12 + 1),NA()),NA())</f>
        <v>#N/A</v>
      </c>
      <c r="V12" s="67" t="e">
        <f ca="1">IFERROR(IF(ISNUMBER(T12),INDEX('1.Locations'!E2:E10,T12 + 1),NA()),NA())</f>
        <v>#N/A</v>
      </c>
      <c r="W12" s="68" t="str">
        <f ca="1">IFERROR(IF(ISNUMBER(T12),INDEX('2.Distances'!C2:C82,T11*9+T12+ 1) +W11," ")," ")</f>
        <v xml:space="preserve"> </v>
      </c>
      <c r="X12" s="69" t="str">
        <f ca="1">IFERROR(IF(ISNUMBER(T12),'3.Vehicles'!F3 * INDEX('2.Distances'!D2:D82,T11*9+T12 + 1) +X11," ")," ")</f>
        <v xml:space="preserve"> </v>
      </c>
      <c r="Y12" s="70" t="str">
        <f ca="1">IFERROR(IF(ISNUMBER(T12),'3.Vehicles'!F3 * INDEX('2.Distances'!D2:D82,T11*9+T12 + 1) +Z11," ")," ")</f>
        <v xml:space="preserve"> </v>
      </c>
      <c r="Z12" s="70" t="str">
        <f ca="1">IFERROR(IF(AND(T5&lt;&gt;T12,ISNUMBER(Y12)),INDEX('1.Locations'!I2:I10,T12 + 1) + MAX(Y12,INDEX('1.Locations'!F2:F10,T12 + 1))," ")," ")</f>
        <v xml:space="preserve"> </v>
      </c>
      <c r="AA12" s="69" t="str">
        <f ca="1">IFERROR(IF(AND(S12 = S5, S13 = ""), Y12 - Z5, Z12 - Z5)," ")</f>
        <v xml:space="preserve"> </v>
      </c>
      <c r="AB12" s="67" t="str">
        <f ca="1">IFERROR(IF(ISNUMBER(T12),INDEX('1.Locations'!L2:L10,T12 + 1) + AB11," ")," ")</f>
        <v xml:space="preserve"> </v>
      </c>
      <c r="AC12" s="68" t="str">
        <f ca="1">IFERROR(IF(ISNUMBER(T12),INDEX('1.Locations'!J2:J10,T12 + 1)," ")," ")</f>
        <v xml:space="preserve"> </v>
      </c>
      <c r="AD12" s="68" t="str">
        <f ca="1">IFERROR(IF(ISNUMBER(T12),INDEX('1.Locations'!K2:K10,T12 + 1)," ")," ")</f>
        <v xml:space="preserve"> </v>
      </c>
      <c r="AE12" s="68" t="str">
        <f ca="1">IFERROR(IF(ISNUMBER(T12),IF(S12 = S5, 0, AC12 + AE11)," ")," ")</f>
        <v xml:space="preserve"> </v>
      </c>
      <c r="AF12" s="68" t="str">
        <f ca="1">IFERROR(IF(ISNUMBER(T12),IF(S13 = S5, 0, IF(S13 = "", 0, AF13 + AD13))," ")," ")</f>
        <v xml:space="preserve"> </v>
      </c>
      <c r="AG12" s="67" t="str">
        <f t="shared" ca="1" si="1"/>
        <v xml:space="preserve"> </v>
      </c>
    </row>
    <row r="13" spans="1:33" x14ac:dyDescent="0.2">
      <c r="A13" s="14">
        <v>8</v>
      </c>
      <c r="B13" s="71"/>
      <c r="C13" s="67" t="str">
        <f ca="1">IFERROR(MATCH(INDIRECT("B13"),'1.Locations'!B2:B10, 0) - 1," ")</f>
        <v xml:space="preserve"> </v>
      </c>
      <c r="D13" s="67" t="e">
        <f ca="1">IFERROR(IF(ISNUMBER(C13),INDEX('1.Locations'!D2:D10,C13 + 1),NA()),NA())</f>
        <v>#N/A</v>
      </c>
      <c r="E13" s="67" t="e">
        <f ca="1">IFERROR(IF(ISNUMBER(C13),INDEX('1.Locations'!E2:E10,C13 + 1),NA()),NA())</f>
        <v>#N/A</v>
      </c>
      <c r="F13" s="68" t="str">
        <f ca="1">IFERROR(IF(ISNUMBER(C13),INDEX('2.Distances'!C2:C82,C12*9+C13+ 1) +F12," ")," ")</f>
        <v xml:space="preserve"> </v>
      </c>
      <c r="G13" s="69" t="str">
        <f ca="1">IFERROR(IF(ISNUMBER(C13),'3.Vehicles'!F2 * INDEX('2.Distances'!D2:D82,C12*9+C13 + 1) +G12," ")," ")</f>
        <v xml:space="preserve"> </v>
      </c>
      <c r="H13" s="70" t="str">
        <f ca="1">IFERROR(IF(ISNUMBER(C13),'3.Vehicles'!F2 * INDEX('2.Distances'!D2:D82,C12*9+C13 + 1) +I12," ")," ")</f>
        <v xml:space="preserve"> </v>
      </c>
      <c r="I13" s="70" t="str">
        <f ca="1">IFERROR(IF(AND(C5&lt;&gt;C13,ISNUMBER(H13)),INDEX('1.Locations'!I2:I10,C13 + 1) + MAX(H13,INDEX('1.Locations'!F2:F10,C13 + 1))," ")," ")</f>
        <v xml:space="preserve"> </v>
      </c>
      <c r="J13" s="69" t="str">
        <f ca="1">IFERROR(IF(AND(B13 = B5, B14 = ""), H13 - I5, I13 - I5)," ")</f>
        <v xml:space="preserve"> </v>
      </c>
      <c r="K13" s="67" t="str">
        <f ca="1">IFERROR(IF(ISNUMBER(C13),INDEX('1.Locations'!L2:L10,C13 + 1) + K12," ")," ")</f>
        <v xml:space="preserve"> </v>
      </c>
      <c r="L13" s="68" t="str">
        <f ca="1">IFERROR(IF(ISNUMBER(C13),INDEX('1.Locations'!J2:J10,C13 + 1)," ")," ")</f>
        <v xml:space="preserve"> </v>
      </c>
      <c r="M13" s="68" t="str">
        <f ca="1">IFERROR(IF(ISNUMBER(C13),INDEX('1.Locations'!K2:K10,C13 + 1)," ")," ")</f>
        <v xml:space="preserve"> </v>
      </c>
      <c r="N13" s="68" t="str">
        <f ca="1">IFERROR(IF(ISNUMBER(C13),IF(B13 = B5, 0, L13 + N12)," ")," ")</f>
        <v xml:space="preserve"> </v>
      </c>
      <c r="O13" s="68" t="str">
        <f ca="1">IFERROR(IF(ISNUMBER(C13),IF(B14 = B5, 0, IF(B14 = "", 0, O14 + M14))," ")," ")</f>
        <v xml:space="preserve"> </v>
      </c>
      <c r="P13" s="67" t="str">
        <f t="shared" ca="1" si="0"/>
        <v xml:space="preserve"> </v>
      </c>
      <c r="R13" s="14">
        <v>8</v>
      </c>
      <c r="S13" s="71"/>
      <c r="T13" s="67" t="str">
        <f ca="1">IFERROR(MATCH(INDIRECT("S13"),'1.Locations'!B2:B10, 0) - 1," ")</f>
        <v xml:space="preserve"> </v>
      </c>
      <c r="U13" s="67" t="e">
        <f ca="1">IFERROR(IF(ISNUMBER(T13),INDEX('1.Locations'!D2:D10,T13 + 1),NA()),NA())</f>
        <v>#N/A</v>
      </c>
      <c r="V13" s="67" t="e">
        <f ca="1">IFERROR(IF(ISNUMBER(T13),INDEX('1.Locations'!E2:E10,T13 + 1),NA()),NA())</f>
        <v>#N/A</v>
      </c>
      <c r="W13" s="68" t="str">
        <f ca="1">IFERROR(IF(ISNUMBER(T13),INDEX('2.Distances'!C2:C82,T12*9+T13+ 1) +W12," ")," ")</f>
        <v xml:space="preserve"> </v>
      </c>
      <c r="X13" s="69" t="str">
        <f ca="1">IFERROR(IF(ISNUMBER(T13),'3.Vehicles'!F3 * INDEX('2.Distances'!D2:D82,T12*9+T13 + 1) +X12," ")," ")</f>
        <v xml:space="preserve"> </v>
      </c>
      <c r="Y13" s="70" t="str">
        <f ca="1">IFERROR(IF(ISNUMBER(T13),'3.Vehicles'!F3 * INDEX('2.Distances'!D2:D82,T12*9+T13 + 1) +Z12," ")," ")</f>
        <v xml:space="preserve"> </v>
      </c>
      <c r="Z13" s="70" t="str">
        <f ca="1">IFERROR(IF(AND(T5&lt;&gt;T13,ISNUMBER(Y13)),INDEX('1.Locations'!I2:I10,T13 + 1) + MAX(Y13,INDEX('1.Locations'!F2:F10,T13 + 1))," ")," ")</f>
        <v xml:space="preserve"> </v>
      </c>
      <c r="AA13" s="69" t="str">
        <f ca="1">IFERROR(IF(AND(S13 = S5, S14 = ""), Y13 - Z5, Z13 - Z5)," ")</f>
        <v xml:space="preserve"> </v>
      </c>
      <c r="AB13" s="67" t="str">
        <f ca="1">IFERROR(IF(ISNUMBER(T13),INDEX('1.Locations'!L2:L10,T13 + 1) + AB12," ")," ")</f>
        <v xml:space="preserve"> </v>
      </c>
      <c r="AC13" s="68" t="str">
        <f ca="1">IFERROR(IF(ISNUMBER(T13),INDEX('1.Locations'!J2:J10,T13 + 1)," ")," ")</f>
        <v xml:space="preserve"> </v>
      </c>
      <c r="AD13" s="68" t="str">
        <f ca="1">IFERROR(IF(ISNUMBER(T13),INDEX('1.Locations'!K2:K10,T13 + 1)," ")," ")</f>
        <v xml:space="preserve"> </v>
      </c>
      <c r="AE13" s="68" t="str">
        <f ca="1">IFERROR(IF(ISNUMBER(T13),IF(S13 = S5, 0, AC13 + AE12)," ")," ")</f>
        <v xml:space="preserve"> </v>
      </c>
      <c r="AF13" s="68" t="str">
        <f ca="1">IFERROR(IF(ISNUMBER(T13),IF(S14 = S5, 0, IF(S14 = "", 0, AF14 + AD14))," ")," ")</f>
        <v xml:space="preserve"> </v>
      </c>
      <c r="AG13" s="67" t="str">
        <f t="shared" ca="1" si="1"/>
        <v xml:space="preserve"> </v>
      </c>
    </row>
    <row r="14" spans="1:33" x14ac:dyDescent="0.2">
      <c r="A14" s="13">
        <v>9</v>
      </c>
      <c r="B14" s="65"/>
      <c r="C14" s="61" t="str">
        <f ca="1">IFERROR(MATCH(INDIRECT("B14"),'1.Locations'!B2:B10, 0) - 1," ")</f>
        <v xml:space="preserve"> </v>
      </c>
      <c r="D14" s="61" t="e">
        <f ca="1">IFERROR(IF(ISNUMBER(C14),INDEX('1.Locations'!D2:D10,C14 + 1),NA()),NA())</f>
        <v>#N/A</v>
      </c>
      <c r="E14" s="61" t="e">
        <f ca="1">IFERROR(IF(ISNUMBER(C14),INDEX('1.Locations'!E2:E10,C14 + 1),NA()),NA())</f>
        <v>#N/A</v>
      </c>
      <c r="F14" s="62" t="str">
        <f ca="1">IFERROR(IF(ISNUMBER(C14),INDEX('2.Distances'!C2:C82,C13*9+C14+ 1) +F13," ")," ")</f>
        <v xml:space="preserve"> </v>
      </c>
      <c r="G14" s="63" t="str">
        <f ca="1">IFERROR(IF(ISNUMBER(C14),'3.Vehicles'!F2 * INDEX('2.Distances'!D2:D82,C13*9+C14 + 1) +G13," ")," ")</f>
        <v xml:space="preserve"> </v>
      </c>
      <c r="H14" s="64" t="str">
        <f ca="1">IFERROR(IF(ISNUMBER(C14),'3.Vehicles'!F2 * INDEX('2.Distances'!D2:D82,C13*9+C14 + 1) +I13," ")," ")</f>
        <v xml:space="preserve"> </v>
      </c>
      <c r="I14" s="64" t="str">
        <f ca="1">IFERROR(IF(AND(C5&lt;&gt;C14,ISNUMBER(H14)),INDEX('1.Locations'!I2:I10,C14 + 1) + MAX(H14,INDEX('1.Locations'!F2:F10,C14 + 1))," ")," ")</f>
        <v xml:space="preserve"> </v>
      </c>
      <c r="J14" s="63" t="str">
        <f ca="1">IFERROR(IF(AND(B14 = B5, B15 = ""), H14 - I5, I14 - I5)," ")</f>
        <v xml:space="preserve"> </v>
      </c>
      <c r="K14" s="61" t="str">
        <f ca="1">IFERROR(IF(ISNUMBER(C14),INDEX('1.Locations'!L2:L10,C14 + 1) + K13," ")," ")</f>
        <v xml:space="preserve"> </v>
      </c>
      <c r="L14" s="62" t="str">
        <f ca="1">IFERROR(IF(ISNUMBER(C14),INDEX('1.Locations'!J2:J10,C14 + 1)," ")," ")</f>
        <v xml:space="preserve"> </v>
      </c>
      <c r="M14" s="62" t="str">
        <f ca="1">IFERROR(IF(ISNUMBER(C14),INDEX('1.Locations'!K2:K10,C14 + 1)," ")," ")</f>
        <v xml:space="preserve"> </v>
      </c>
      <c r="N14" s="62" t="str">
        <f ca="1">IFERROR(IF(ISNUMBER(C14),IF(B14 = B5, 0, L14 + N13)," ")," ")</f>
        <v xml:space="preserve"> </v>
      </c>
      <c r="O14" s="62" t="str">
        <f ca="1">IFERROR(IF(ISNUMBER(C14),IF(B15 = B5, 0, IF(B15 = "", 0, O15 + M15))," ")," ")</f>
        <v xml:space="preserve"> </v>
      </c>
      <c r="P14" s="61" t="str">
        <f t="shared" ca="1" si="0"/>
        <v xml:space="preserve"> </v>
      </c>
      <c r="R14" s="13">
        <v>9</v>
      </c>
      <c r="S14" s="65"/>
      <c r="T14" s="61" t="str">
        <f ca="1">IFERROR(MATCH(INDIRECT("S14"),'1.Locations'!B2:B10, 0) - 1," ")</f>
        <v xml:space="preserve"> </v>
      </c>
      <c r="U14" s="61" t="e">
        <f ca="1">IFERROR(IF(ISNUMBER(T14),INDEX('1.Locations'!D2:D10,T14 + 1),NA()),NA())</f>
        <v>#N/A</v>
      </c>
      <c r="V14" s="61" t="e">
        <f ca="1">IFERROR(IF(ISNUMBER(T14),INDEX('1.Locations'!E2:E10,T14 + 1),NA()),NA())</f>
        <v>#N/A</v>
      </c>
      <c r="W14" s="62" t="str">
        <f ca="1">IFERROR(IF(ISNUMBER(T14),INDEX('2.Distances'!C2:C82,T13*9+T14+ 1) +W13," ")," ")</f>
        <v xml:space="preserve"> </v>
      </c>
      <c r="X14" s="63" t="str">
        <f ca="1">IFERROR(IF(ISNUMBER(T14),'3.Vehicles'!F3 * INDEX('2.Distances'!D2:D82,T13*9+T14 + 1) +X13," ")," ")</f>
        <v xml:space="preserve"> </v>
      </c>
      <c r="Y14" s="64" t="str">
        <f ca="1">IFERROR(IF(ISNUMBER(T14),'3.Vehicles'!F3 * INDEX('2.Distances'!D2:D82,T13*9+T14 + 1) +Z13," ")," ")</f>
        <v xml:space="preserve"> </v>
      </c>
      <c r="Z14" s="64" t="str">
        <f ca="1">IFERROR(IF(AND(T5&lt;&gt;T14,ISNUMBER(Y14)),INDEX('1.Locations'!I2:I10,T14 + 1) + MAX(Y14,INDEX('1.Locations'!F2:F10,T14 + 1))," ")," ")</f>
        <v xml:space="preserve"> </v>
      </c>
      <c r="AA14" s="63" t="str">
        <f ca="1">IFERROR(IF(AND(S14 = S5, S15 = ""), Y14 - Z5, Z14 - Z5)," ")</f>
        <v xml:space="preserve"> </v>
      </c>
      <c r="AB14" s="61" t="str">
        <f ca="1">IFERROR(IF(ISNUMBER(T14),INDEX('1.Locations'!L2:L10,T14 + 1) + AB13," ")," ")</f>
        <v xml:space="preserve"> </v>
      </c>
      <c r="AC14" s="62" t="str">
        <f ca="1">IFERROR(IF(ISNUMBER(T14),INDEX('1.Locations'!J2:J10,T14 + 1)," ")," ")</f>
        <v xml:space="preserve"> </v>
      </c>
      <c r="AD14" s="62" t="str">
        <f ca="1">IFERROR(IF(ISNUMBER(T14),INDEX('1.Locations'!K2:K10,T14 + 1)," ")," ")</f>
        <v xml:space="preserve"> </v>
      </c>
      <c r="AE14" s="62" t="str">
        <f ca="1">IFERROR(IF(ISNUMBER(T14),IF(S14 = S5, 0, AC14 + AE13)," ")," ")</f>
        <v xml:space="preserve"> </v>
      </c>
      <c r="AF14" s="62" t="str">
        <f ca="1">IFERROR(IF(ISNUMBER(T14),IF(S15 = S5, 0, IF(S15 = "", 0, AF15 + AD15))," ")," ")</f>
        <v xml:space="preserve"> </v>
      </c>
      <c r="AG14" s="61" t="str">
        <f t="shared" ca="1" si="1"/>
        <v xml:space="preserve"> </v>
      </c>
    </row>
    <row r="16" spans="1:33" x14ac:dyDescent="0.2">
      <c r="A16" s="7" t="s">
        <v>107</v>
      </c>
    </row>
  </sheetData>
  <conditionalFormatting sqref="F6:F14">
    <cfRule type="cellIs" dxfId="91" priority="8" stopIfTrue="1" operator="equal">
      <formula>" "</formula>
    </cfRule>
  </conditionalFormatting>
  <conditionalFormatting sqref="P6:P14">
    <cfRule type="cellIs" dxfId="90" priority="7" stopIfTrue="1" operator="equal">
      <formula>" "</formula>
    </cfRule>
  </conditionalFormatting>
  <conditionalFormatting sqref="P6:P14">
    <cfRule type="cellIs" dxfId="89" priority="40" stopIfTrue="1" operator="lessThan">
      <formula>0</formula>
    </cfRule>
  </conditionalFormatting>
  <conditionalFormatting sqref="G6:G14">
    <cfRule type="cellIs" dxfId="88" priority="6" stopIfTrue="1" operator="equal">
      <formula>" "</formula>
    </cfRule>
  </conditionalFormatting>
  <conditionalFormatting sqref="J6:J14">
    <cfRule type="cellIs" dxfId="87" priority="5" stopIfTrue="1" operator="equal">
      <formula>" "</formula>
    </cfRule>
  </conditionalFormatting>
  <conditionalFormatting sqref="I3">
    <cfRule type="expression" dxfId="86" priority="43" stopIfTrue="1">
      <formula>ISERROR(I3)</formula>
    </cfRule>
  </conditionalFormatting>
  <conditionalFormatting sqref="W6:W14">
    <cfRule type="cellIs" dxfId="85" priority="4" stopIfTrue="1" operator="equal">
      <formula>" "</formula>
    </cfRule>
  </conditionalFormatting>
  <conditionalFormatting sqref="AG6:AG14">
    <cfRule type="cellIs" dxfId="84" priority="3" stopIfTrue="1" operator="equal">
      <formula>" "</formula>
    </cfRule>
  </conditionalFormatting>
  <conditionalFormatting sqref="AG6:AG14">
    <cfRule type="cellIs" dxfId="83" priority="75" stopIfTrue="1" operator="lessThan">
      <formula>0</formula>
    </cfRule>
  </conditionalFormatting>
  <conditionalFormatting sqref="X6:X14">
    <cfRule type="cellIs" dxfId="82" priority="2" stopIfTrue="1" operator="equal">
      <formula>" "</formula>
    </cfRule>
  </conditionalFormatting>
  <conditionalFormatting sqref="AA6:AA14">
    <cfRule type="cellIs" dxfId="81" priority="1" stopIfTrue="1" operator="equal">
      <formula>" "</formula>
    </cfRule>
  </conditionalFormatting>
  <conditionalFormatting sqref="Z3">
    <cfRule type="expression" dxfId="80" priority="78" stopIfTrue="1">
      <formula>ISERROR(Z3)</formula>
    </cfRule>
  </conditionalFormatting>
  <conditionalFormatting sqref="B1">
    <cfRule type="expression" dxfId="79" priority="79" stopIfTrue="1">
      <formula>ISERROR(B1)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stopIfTrue="1" id="{0D4729E9-9229-5644-ACCE-CA857FE0C53B}">
            <xm:f>(60 * HOUR(H5) + MINUTE(H5)) &gt;(60 * HOUR(INDEX('1.Locations'!G2:G10,C5 + 1)) +MINUTE(INDEX('1.Locations'!G2:G10,C5 + 1)))</xm:f>
            <x14:dxf>
              <fill>
                <patternFill>
                  <bgColor indexed="10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expression" priority="10" stopIfTrue="1" id="{B90B29E1-2112-A348-BB7D-C60DC1302FAA}">
            <xm:f>(60 * HOUR(I5) + MINUTE(I5)) &gt;(60 * HOUR(INDEX('1.Locations'!G2:G10,C5 + 1)) +MINUTE(INDEX('1.Locations'!G2:G10,C5 + 1)))</xm:f>
            <x14:dxf>
              <fill>
                <patternFill>
                  <bgColor indexed="10"/>
                </patternFill>
              </fill>
            </x14:dxf>
          </x14:cfRule>
          <xm:sqref>I5</xm:sqref>
        </x14:conditionalFormatting>
        <x14:conditionalFormatting xmlns:xm="http://schemas.microsoft.com/office/excel/2006/main">
          <x14:cfRule type="cellIs" priority="11" stopIfTrue="1" operator="lessThan" id="{4DEA6DDA-A118-8147-BE4B-8F835A6C0068}">
            <xm:f>INDEX('1.Locations'!F2:F10,C6 + 1)</xm:f>
            <x14:dxf>
              <fill>
                <patternFill>
                  <bgColor indexed="52"/>
                </patternFill>
              </fill>
            </x14:dxf>
          </x14:cfRule>
          <x14:cfRule type="expression" priority="12" stopIfTrue="1" id="{10A721A4-12CF-F745-83EF-0FA6D88C17AA}">
            <xm:f>(60 * HOUR(H6) + MINUTE(H6)) &gt;(60 * HOUR(INDEX('1.Locations'!G2:G10,C6 + 1)) +MINUTE(INDEX('1.Locations'!G2:G10,C6 + 1)))</xm:f>
            <x14:dxf>
              <fill>
                <patternFill>
                  <bgColor indexed="10"/>
                </patternFill>
              </fill>
            </x14:dxf>
          </x14:cfRule>
          <xm:sqref>H6</xm:sqref>
        </x14:conditionalFormatting>
        <x14:conditionalFormatting xmlns:xm="http://schemas.microsoft.com/office/excel/2006/main">
          <x14:cfRule type="expression" priority="13" stopIfTrue="1" id="{6C2BC2C2-329D-C94A-B088-4B9E8F4537F8}">
            <xm:f>(60 * HOUR(I6) + MINUTE(I6)) &gt;(60 * HOUR(INDEX('1.Locations'!G2:G10,C6 + 1)) +MINUTE(INDEX('1.Locations'!G2:G10,C6 + 1)))</xm:f>
            <x14:dxf>
              <fill>
                <patternFill>
                  <bgColor indexed="10"/>
                </patternFill>
              </fill>
            </x14:dxf>
          </x14:cfRule>
          <xm:sqref>I6</xm:sqref>
        </x14:conditionalFormatting>
        <x14:conditionalFormatting xmlns:xm="http://schemas.microsoft.com/office/excel/2006/main">
          <x14:cfRule type="cellIs" priority="14" stopIfTrue="1" operator="lessThan" id="{FD5E5483-A695-A346-80ED-B02F518DD2E0}">
            <xm:f>INDEX('1.Locations'!F2:F10,C7 + 1)</xm:f>
            <x14:dxf>
              <fill>
                <patternFill>
                  <bgColor indexed="52"/>
                </patternFill>
              </fill>
            </x14:dxf>
          </x14:cfRule>
          <x14:cfRule type="expression" priority="15" stopIfTrue="1" id="{E51A94BA-3299-4A4B-BD00-6CFB18AA952B}">
            <xm:f>(60 * HOUR(H7) + MINUTE(H7)) &gt;(60 * HOUR(INDEX('1.Locations'!G2:G10,C7 + 1)) +MINUTE(INDEX('1.Locations'!G2:G10,C7 + 1)))</xm:f>
            <x14:dxf>
              <fill>
                <patternFill>
                  <bgColor indexed="10"/>
                </patternFill>
              </fill>
            </x14:dxf>
          </x14:cfRule>
          <xm:sqref>H7</xm:sqref>
        </x14:conditionalFormatting>
        <x14:conditionalFormatting xmlns:xm="http://schemas.microsoft.com/office/excel/2006/main">
          <x14:cfRule type="expression" priority="16" stopIfTrue="1" id="{F883CA6F-4A1F-D349-ADA8-AB13164B9666}">
            <xm:f>(60 * HOUR(I7) + MINUTE(I7)) &gt;(60 * HOUR(INDEX('1.Locations'!G2:G10,C7 + 1)) +MINUTE(INDEX('1.Locations'!G2:G10,C7 + 1)))</xm:f>
            <x14:dxf>
              <fill>
                <patternFill>
                  <bgColor indexed="10"/>
                </patternFill>
              </fill>
            </x14:dxf>
          </x14:cfRule>
          <xm:sqref>I7</xm:sqref>
        </x14:conditionalFormatting>
        <x14:conditionalFormatting xmlns:xm="http://schemas.microsoft.com/office/excel/2006/main">
          <x14:cfRule type="cellIs" priority="17" stopIfTrue="1" operator="lessThan" id="{65ACAFE0-FDCC-1444-9729-0A7122C4A534}">
            <xm:f>INDEX('1.Locations'!F2:F10,C8 + 1)</xm:f>
            <x14:dxf>
              <fill>
                <patternFill>
                  <bgColor indexed="52"/>
                </patternFill>
              </fill>
            </x14:dxf>
          </x14:cfRule>
          <x14:cfRule type="expression" priority="18" stopIfTrue="1" id="{B89BD320-1536-1C46-B3CE-82F3FC3D0791}">
            <xm:f>(60 * HOUR(H8) + MINUTE(H8)) &gt;(60 * HOUR(INDEX('1.Locations'!G2:G10,C8 + 1)) +MINUTE(INDEX('1.Locations'!G2:G10,C8 + 1)))</xm:f>
            <x14:dxf>
              <fill>
                <patternFill>
                  <bgColor indexed="10"/>
                </patternFill>
              </fill>
            </x14:dxf>
          </x14:cfRule>
          <xm:sqref>H8</xm:sqref>
        </x14:conditionalFormatting>
        <x14:conditionalFormatting xmlns:xm="http://schemas.microsoft.com/office/excel/2006/main">
          <x14:cfRule type="expression" priority="19" stopIfTrue="1" id="{32E3F4FD-5D0A-D848-BCB7-24703ABED575}">
            <xm:f>(60 * HOUR(I8) + MINUTE(I8)) &gt;(60 * HOUR(INDEX('1.Locations'!G2:G10,C8 + 1)) +MINUTE(INDEX('1.Locations'!G2:G10,C8 + 1)))</xm:f>
            <x14:dxf>
              <fill>
                <patternFill>
                  <bgColor indexed="10"/>
                </patternFill>
              </fill>
            </x14:dxf>
          </x14:cfRule>
          <xm:sqref>I8</xm:sqref>
        </x14:conditionalFormatting>
        <x14:conditionalFormatting xmlns:xm="http://schemas.microsoft.com/office/excel/2006/main">
          <x14:cfRule type="cellIs" priority="20" stopIfTrue="1" operator="lessThan" id="{9C7D4B2C-240C-C145-8C95-ADCFE1DC4E93}">
            <xm:f>INDEX('1.Locations'!F2:F10,C9 + 1)</xm:f>
            <x14:dxf>
              <fill>
                <patternFill>
                  <bgColor indexed="52"/>
                </patternFill>
              </fill>
            </x14:dxf>
          </x14:cfRule>
          <x14:cfRule type="expression" priority="21" stopIfTrue="1" id="{5C9BB026-F1FE-E649-8465-7479A3224B85}">
            <xm:f>(60 * HOUR(H9) + MINUTE(H9)) &gt;(60 * HOUR(INDEX('1.Locations'!G2:G10,C9 + 1)) +MINUTE(INDEX('1.Locations'!G2:G10,C9 + 1)))</xm:f>
            <x14:dxf>
              <fill>
                <patternFill>
                  <bgColor indexed="10"/>
                </patternFill>
              </fill>
            </x14:dxf>
          </x14:cfRule>
          <xm:sqref>H9</xm:sqref>
        </x14:conditionalFormatting>
        <x14:conditionalFormatting xmlns:xm="http://schemas.microsoft.com/office/excel/2006/main">
          <x14:cfRule type="expression" priority="22" stopIfTrue="1" id="{49CEFA49-02FE-E948-825F-64C78AA087B1}">
            <xm:f>(60 * HOUR(I9) + MINUTE(I9)) &gt;(60 * HOUR(INDEX('1.Locations'!G2:G10,C9 + 1)) +MINUTE(INDEX('1.Locations'!G2:G10,C9 + 1)))</xm:f>
            <x14:dxf>
              <fill>
                <patternFill>
                  <bgColor indexed="10"/>
                </patternFill>
              </fill>
            </x14:dxf>
          </x14:cfRule>
          <xm:sqref>I9</xm:sqref>
        </x14:conditionalFormatting>
        <x14:conditionalFormatting xmlns:xm="http://schemas.microsoft.com/office/excel/2006/main">
          <x14:cfRule type="cellIs" priority="23" stopIfTrue="1" operator="lessThan" id="{47F8112E-5244-284F-B3EC-E80D52F297A8}">
            <xm:f>INDEX('1.Locations'!F2:F10,C10 + 1)</xm:f>
            <x14:dxf>
              <fill>
                <patternFill>
                  <bgColor indexed="52"/>
                </patternFill>
              </fill>
            </x14:dxf>
          </x14:cfRule>
          <x14:cfRule type="expression" priority="24" stopIfTrue="1" id="{4E2DF16C-AF89-7244-9ECD-9D5929100567}">
            <xm:f>(60 * HOUR(H10) + MINUTE(H10)) &gt;(60 * HOUR(INDEX('1.Locations'!G2:G10,C10 + 1)) +MINUTE(INDEX('1.Locations'!G2:G10,C10 + 1)))</xm:f>
            <x14:dxf>
              <fill>
                <patternFill>
                  <bgColor indexed="10"/>
                </patternFill>
              </fill>
            </x14:dxf>
          </x14:cfRule>
          <xm:sqref>H10</xm:sqref>
        </x14:conditionalFormatting>
        <x14:conditionalFormatting xmlns:xm="http://schemas.microsoft.com/office/excel/2006/main">
          <x14:cfRule type="expression" priority="25" stopIfTrue="1" id="{71FDF094-9614-4544-81F9-8DD414236C66}">
            <xm:f>(60 * HOUR(I10) + MINUTE(I10)) &gt;(60 * HOUR(INDEX('1.Locations'!G2:G10,C10 + 1)) +MINUTE(INDEX('1.Locations'!G2:G10,C10 + 1)))</xm:f>
            <x14:dxf>
              <fill>
                <patternFill>
                  <bgColor indexed="10"/>
                </patternFill>
              </fill>
            </x14:dxf>
          </x14:cfRule>
          <xm:sqref>I10</xm:sqref>
        </x14:conditionalFormatting>
        <x14:conditionalFormatting xmlns:xm="http://schemas.microsoft.com/office/excel/2006/main">
          <x14:cfRule type="cellIs" priority="26" stopIfTrue="1" operator="lessThan" id="{11183D34-912A-A14C-BF66-147B6F89A4DA}">
            <xm:f>INDEX('1.Locations'!F2:F10,C11 + 1)</xm:f>
            <x14:dxf>
              <fill>
                <patternFill>
                  <bgColor indexed="52"/>
                </patternFill>
              </fill>
            </x14:dxf>
          </x14:cfRule>
          <x14:cfRule type="expression" priority="27" stopIfTrue="1" id="{E62C061F-47D8-A944-95CE-161CFDE8E82E}">
            <xm:f>(60 * HOUR(H11) + MINUTE(H11)) &gt;(60 * HOUR(INDEX('1.Locations'!G2:G10,C11 + 1)) +MINUTE(INDEX('1.Locations'!G2:G10,C11 + 1)))</xm:f>
            <x14:dxf>
              <fill>
                <patternFill>
                  <bgColor indexed="10"/>
                </patternFill>
              </fill>
            </x14:dxf>
          </x14:cfRule>
          <xm:sqref>H11</xm:sqref>
        </x14:conditionalFormatting>
        <x14:conditionalFormatting xmlns:xm="http://schemas.microsoft.com/office/excel/2006/main">
          <x14:cfRule type="expression" priority="28" stopIfTrue="1" id="{F51BC282-79F3-7641-9D79-04D2735AFB68}">
            <xm:f>(60 * HOUR(I11) + MINUTE(I11)) &gt;(60 * HOUR(INDEX('1.Locations'!G2:G10,C11 + 1)) +MINUTE(INDEX('1.Locations'!G2:G10,C11 + 1)))</xm:f>
            <x14:dxf>
              <fill>
                <patternFill>
                  <bgColor indexed="10"/>
                </patternFill>
              </fill>
            </x14:dxf>
          </x14:cfRule>
          <xm:sqref>I11</xm:sqref>
        </x14:conditionalFormatting>
        <x14:conditionalFormatting xmlns:xm="http://schemas.microsoft.com/office/excel/2006/main">
          <x14:cfRule type="cellIs" priority="29" stopIfTrue="1" operator="lessThan" id="{117B6E43-0128-FF44-BEC9-6FEF00E7F81B}">
            <xm:f>INDEX('1.Locations'!F2:F10,C12 + 1)</xm:f>
            <x14:dxf>
              <fill>
                <patternFill>
                  <bgColor indexed="52"/>
                </patternFill>
              </fill>
            </x14:dxf>
          </x14:cfRule>
          <x14:cfRule type="expression" priority="30" stopIfTrue="1" id="{D1B2F50A-6B21-F847-92A3-F6535757DC7A}">
            <xm:f>(60 * HOUR(H12) + MINUTE(H12)) &gt;(60 * HOUR(INDEX('1.Locations'!G2:G10,C12 + 1)) +MINUTE(INDEX('1.Locations'!G2:G10,C12 + 1)))</xm:f>
            <x14:dxf>
              <fill>
                <patternFill>
                  <bgColor indexed="10"/>
                </patternFill>
              </fill>
            </x14:dxf>
          </x14:cfRule>
          <xm:sqref>H12</xm:sqref>
        </x14:conditionalFormatting>
        <x14:conditionalFormatting xmlns:xm="http://schemas.microsoft.com/office/excel/2006/main">
          <x14:cfRule type="expression" priority="31" stopIfTrue="1" id="{F3F88E23-CDBF-B041-B190-6933E79C3919}">
            <xm:f>(60 * HOUR(I12) + MINUTE(I12)) &gt;(60 * HOUR(INDEX('1.Locations'!G2:G10,C12 + 1)) +MINUTE(INDEX('1.Locations'!G2:G10,C12 + 1)))</xm:f>
            <x14:dxf>
              <fill>
                <patternFill>
                  <bgColor indexed="10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cellIs" priority="32" stopIfTrue="1" operator="lessThan" id="{3891BE24-E624-E044-9C92-16E63DB7FC99}">
            <xm:f>INDEX('1.Locations'!F2:F10,C13 + 1)</xm:f>
            <x14:dxf>
              <fill>
                <patternFill>
                  <bgColor indexed="52"/>
                </patternFill>
              </fill>
            </x14:dxf>
          </x14:cfRule>
          <x14:cfRule type="expression" priority="33" stopIfTrue="1" id="{6C3B5DF9-E8A7-9A4D-996E-8E598183E818}">
            <xm:f>(60 * HOUR(H13) + MINUTE(H13)) &gt;(60 * HOUR(INDEX('1.Locations'!G2:G10,C13 + 1)) +MINUTE(INDEX('1.Locations'!G2:G10,C13 + 1)))</xm:f>
            <x14:dxf>
              <fill>
                <patternFill>
                  <bgColor indexed="10"/>
                </patternFill>
              </fill>
            </x14:dxf>
          </x14:cfRule>
          <xm:sqref>H13</xm:sqref>
        </x14:conditionalFormatting>
        <x14:conditionalFormatting xmlns:xm="http://schemas.microsoft.com/office/excel/2006/main">
          <x14:cfRule type="expression" priority="34" stopIfTrue="1" id="{630AF7DA-3AFC-EA4C-9838-1D9BC44AE95F}">
            <xm:f>(60 * HOUR(I13) + MINUTE(I13)) &gt;(60 * HOUR(INDEX('1.Locations'!G2:G10,C13 + 1)) +MINUTE(INDEX('1.Locations'!G2:G10,C13 + 1)))</xm:f>
            <x14:dxf>
              <fill>
                <patternFill>
                  <bgColor indexed="10"/>
                </patternFill>
              </fill>
            </x14:dxf>
          </x14:cfRule>
          <xm:sqref>I13</xm:sqref>
        </x14:conditionalFormatting>
        <x14:conditionalFormatting xmlns:xm="http://schemas.microsoft.com/office/excel/2006/main">
          <x14:cfRule type="cellIs" priority="35" stopIfTrue="1" operator="lessThan" id="{00B4D45D-1EA4-0948-A9D3-29BA9F81863E}">
            <xm:f>INDEX('1.Locations'!F2:F10,C14 + 1)</xm:f>
            <x14:dxf>
              <fill>
                <patternFill>
                  <bgColor indexed="52"/>
                </patternFill>
              </fill>
            </x14:dxf>
          </x14:cfRule>
          <x14:cfRule type="expression" priority="36" stopIfTrue="1" id="{080123EC-C427-0344-8B4B-AD82D0E5F976}">
            <xm:f>(60 * HOUR(H14) + MINUTE(H14)) &gt;(60 * HOUR(INDEX('1.Locations'!G2:G10,C14 + 1)) +MINUTE(INDEX('1.Locations'!G2:G10,C14 + 1)))</xm:f>
            <x14:dxf>
              <fill>
                <patternFill>
                  <bgColor indexed="10"/>
                </patternFill>
              </fill>
            </x14:dxf>
          </x14:cfRule>
          <xm:sqref>H14</xm:sqref>
        </x14:conditionalFormatting>
        <x14:conditionalFormatting xmlns:xm="http://schemas.microsoft.com/office/excel/2006/main">
          <x14:cfRule type="expression" priority="37" stopIfTrue="1" id="{D15BFDF7-766C-8949-BA7B-232C1EC8973E}">
            <xm:f>(60 * HOUR(I14) + MINUTE(I14)) &gt;(60 * HOUR(INDEX('1.Locations'!G2:G10,C14 + 1)) +MINUTE(INDEX('1.Locations'!G2:G10,C14 + 1)))</xm:f>
            <x14:dxf>
              <fill>
                <patternFill>
                  <bgColor indexed="10"/>
                </patternFill>
              </fill>
            </x14:dxf>
          </x14:cfRule>
          <xm:sqref>I14</xm:sqref>
        </x14:conditionalFormatting>
        <x14:conditionalFormatting xmlns:xm="http://schemas.microsoft.com/office/excel/2006/main">
          <x14:cfRule type="cellIs" priority="38" stopIfTrue="1" operator="greaterThan" id="{758374FE-5D69-5241-8476-B1C47FAE4977}">
            <xm:f>'3.Vehicles'!$G$2</xm:f>
            <x14:dxf>
              <fill>
                <patternFill>
                  <bgColor indexed="10"/>
                </patternFill>
              </fill>
            </x14:dxf>
          </x14:cfRule>
          <xm:sqref>F6:F14</xm:sqref>
        </x14:conditionalFormatting>
        <x14:conditionalFormatting xmlns:xm="http://schemas.microsoft.com/office/excel/2006/main">
          <x14:cfRule type="cellIs" priority="39" stopIfTrue="1" operator="greaterThan" id="{E48F0009-3CA3-8C4E-A7ED-6E3DBBA7A866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P6:P14</xm:sqref>
        </x14:conditionalFormatting>
        <x14:conditionalFormatting xmlns:xm="http://schemas.microsoft.com/office/excel/2006/main">
          <x14:cfRule type="cellIs" priority="41" stopIfTrue="1" operator="greaterThan" id="{FAA9A840-3A7E-5844-B501-151411954484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G6:G14</xm:sqref>
        </x14:conditionalFormatting>
        <x14:conditionalFormatting xmlns:xm="http://schemas.microsoft.com/office/excel/2006/main">
          <x14:cfRule type="cellIs" priority="42" stopIfTrue="1" operator="greaterThan" id="{3E529E3B-AD81-DF42-9FC6-657675B95312}">
            <xm:f>'3.Vehicles'!$J$2</xm:f>
            <x14:dxf>
              <fill>
                <patternFill>
                  <bgColor indexed="10"/>
                </patternFill>
              </fill>
            </x14:dxf>
          </x14:cfRule>
          <xm:sqref>J6:J14</xm:sqref>
        </x14:conditionalFormatting>
        <x14:conditionalFormatting xmlns:xm="http://schemas.microsoft.com/office/excel/2006/main">
          <x14:cfRule type="expression" priority="44" stopIfTrue="1" id="{48CC1084-C3CE-104B-8AD4-C88AD2CD0237}">
            <xm:f>(60 * HOUR(Y5) + MINUTE(Y5)) &gt;(60 * HOUR(INDEX('1.Locations'!G2:G10,T5 + 1)) +MINUTE(INDEX('1.Locations'!G2:G10,T5 + 1)))</xm:f>
            <x14:dxf>
              <fill>
                <patternFill>
                  <bgColor indexed="10"/>
                </patternFill>
              </fill>
            </x14:dxf>
          </x14:cfRule>
          <xm:sqref>Y5</xm:sqref>
        </x14:conditionalFormatting>
        <x14:conditionalFormatting xmlns:xm="http://schemas.microsoft.com/office/excel/2006/main">
          <x14:cfRule type="expression" priority="45" stopIfTrue="1" id="{E531B3F6-511E-5F48-A6C2-D626DE76ADF7}">
            <xm:f>(60 * HOUR(Z5) + MINUTE(Z5)) &gt;(60 * HOUR(INDEX('1.Locations'!G2:G10,T5 + 1)) +MINUTE(INDEX('1.Locations'!G2:G10,T5 + 1)))</xm:f>
            <x14:dxf>
              <fill>
                <patternFill>
                  <bgColor indexed="10"/>
                </patternFill>
              </fill>
            </x14:dxf>
          </x14:cfRule>
          <xm:sqref>Z5</xm:sqref>
        </x14:conditionalFormatting>
        <x14:conditionalFormatting xmlns:xm="http://schemas.microsoft.com/office/excel/2006/main">
          <x14:cfRule type="cellIs" priority="46" stopIfTrue="1" operator="lessThan" id="{BF4F7C12-CDC6-5343-A589-087A06DE3740}">
            <xm:f>INDEX('1.Locations'!F2:F10,T6 + 1)</xm:f>
            <x14:dxf>
              <fill>
                <patternFill>
                  <bgColor indexed="52"/>
                </patternFill>
              </fill>
            </x14:dxf>
          </x14:cfRule>
          <xm:sqref>Y6</xm:sqref>
        </x14:conditionalFormatting>
        <x14:conditionalFormatting xmlns:xm="http://schemas.microsoft.com/office/excel/2006/main">
          <x14:cfRule type="expression" priority="47" stopIfTrue="1" id="{8A446C91-6BA3-C948-88CE-64B6C2996E6A}">
            <xm:f>(60 * HOUR(Y6) + MINUTE(Y6)) &gt;(60 * HOUR(INDEX('1.Locations'!G2:G10,T6 + 1)) +MINUTE(INDEX('1.Locations'!G2:G10,T6 + 1)))</xm:f>
            <x14:dxf>
              <fill>
                <patternFill>
                  <bgColor indexed="10"/>
                </patternFill>
              </fill>
            </x14:dxf>
          </x14:cfRule>
          <xm:sqref>Y6</xm:sqref>
        </x14:conditionalFormatting>
        <x14:conditionalFormatting xmlns:xm="http://schemas.microsoft.com/office/excel/2006/main">
          <x14:cfRule type="expression" priority="48" stopIfTrue="1" id="{987D19F9-01F4-6646-807F-40F831CDE71D}">
            <xm:f>(60 * HOUR(Z6) + MINUTE(Z6)) &gt;(60 * HOUR(INDEX('1.Locations'!G2:G10,T6 + 1)) +MINUTE(INDEX('1.Locations'!G2:G10,T6 + 1)))</xm:f>
            <x14:dxf>
              <fill>
                <patternFill>
                  <bgColor indexed="10"/>
                </patternFill>
              </fill>
            </x14:dxf>
          </x14:cfRule>
          <xm:sqref>Z6</xm:sqref>
        </x14:conditionalFormatting>
        <x14:conditionalFormatting xmlns:xm="http://schemas.microsoft.com/office/excel/2006/main">
          <x14:cfRule type="cellIs" priority="49" stopIfTrue="1" operator="lessThan" id="{6DDE7B5B-A152-CE4C-A74D-2E032AE95F04}">
            <xm:f>INDEX('1.Locations'!F2:F10,T7 + 1)</xm:f>
            <x14:dxf>
              <fill>
                <patternFill>
                  <bgColor indexed="52"/>
                </patternFill>
              </fill>
            </x14:dxf>
          </x14:cfRule>
          <xm:sqref>Y7</xm:sqref>
        </x14:conditionalFormatting>
        <x14:conditionalFormatting xmlns:xm="http://schemas.microsoft.com/office/excel/2006/main">
          <x14:cfRule type="expression" priority="50" stopIfTrue="1" id="{0EF330B0-44BA-F14C-B898-F8EEF66089C6}">
            <xm:f>(60 * HOUR(Y7) + MINUTE(Y7)) &gt;(60 * HOUR(INDEX('1.Locations'!G2:G10,T7 + 1)) +MINUTE(INDEX('1.Locations'!G2:G10,T7 + 1)))</xm:f>
            <x14:dxf>
              <fill>
                <patternFill>
                  <bgColor indexed="10"/>
                </patternFill>
              </fill>
            </x14:dxf>
          </x14:cfRule>
          <xm:sqref>Y7</xm:sqref>
        </x14:conditionalFormatting>
        <x14:conditionalFormatting xmlns:xm="http://schemas.microsoft.com/office/excel/2006/main">
          <x14:cfRule type="expression" priority="51" stopIfTrue="1" id="{5705A84B-B5C8-7641-816F-0E076D988E2C}">
            <xm:f>(60 * HOUR(Z7) + MINUTE(Z7)) &gt;(60 * HOUR(INDEX('1.Locations'!G2:G10,T7 + 1)) +MINUTE(INDEX('1.Locations'!G2:G10,T7 + 1)))</xm:f>
            <x14:dxf>
              <fill>
                <patternFill>
                  <bgColor indexed="10"/>
                </patternFill>
              </fill>
            </x14:dxf>
          </x14:cfRule>
          <xm:sqref>Z7</xm:sqref>
        </x14:conditionalFormatting>
        <x14:conditionalFormatting xmlns:xm="http://schemas.microsoft.com/office/excel/2006/main">
          <x14:cfRule type="cellIs" priority="52" stopIfTrue="1" operator="lessThan" id="{BB38B5AB-D0A5-9D4B-BA9A-F5F918809DCE}">
            <xm:f>INDEX('1.Locations'!F2:F10,T8 + 1)</xm:f>
            <x14:dxf>
              <fill>
                <patternFill>
                  <bgColor indexed="52"/>
                </patternFill>
              </fill>
            </x14:dxf>
          </x14:cfRule>
          <xm:sqref>Y8</xm:sqref>
        </x14:conditionalFormatting>
        <x14:conditionalFormatting xmlns:xm="http://schemas.microsoft.com/office/excel/2006/main">
          <x14:cfRule type="expression" priority="53" stopIfTrue="1" id="{1D150A47-6285-B04D-AE2C-636DF181AA1B}">
            <xm:f>(60 * HOUR(Y8) + MINUTE(Y8)) &gt;(60 * HOUR(INDEX('1.Locations'!G2:G10,T8 + 1)) +MINUTE(INDEX('1.Locations'!G2:G10,T8 + 1)))</xm:f>
            <x14:dxf>
              <fill>
                <patternFill>
                  <bgColor indexed="10"/>
                </patternFill>
              </fill>
            </x14:dxf>
          </x14:cfRule>
          <xm:sqref>Y8</xm:sqref>
        </x14:conditionalFormatting>
        <x14:conditionalFormatting xmlns:xm="http://schemas.microsoft.com/office/excel/2006/main">
          <x14:cfRule type="expression" priority="54" stopIfTrue="1" id="{FC427ADF-02CE-4A4C-8D6A-79E5D9A4DE20}">
            <xm:f>(60 * HOUR(Z8) + MINUTE(Z8)) &gt;(60 * HOUR(INDEX('1.Locations'!G2:G10,T8 + 1)) +MINUTE(INDEX('1.Locations'!G2:G10,T8 + 1)))</xm:f>
            <x14:dxf>
              <fill>
                <patternFill>
                  <bgColor indexed="10"/>
                </patternFill>
              </fill>
            </x14:dxf>
          </x14:cfRule>
          <xm:sqref>Z8</xm:sqref>
        </x14:conditionalFormatting>
        <x14:conditionalFormatting xmlns:xm="http://schemas.microsoft.com/office/excel/2006/main">
          <x14:cfRule type="cellIs" priority="55" stopIfTrue="1" operator="lessThan" id="{D8267461-9405-7743-BDBE-E1DAABA3686E}">
            <xm:f>INDEX('1.Locations'!F2:F10,T9 + 1)</xm:f>
            <x14:dxf>
              <fill>
                <patternFill>
                  <bgColor indexed="52"/>
                </patternFill>
              </fill>
            </x14:dxf>
          </x14:cfRule>
          <xm:sqref>Y9</xm:sqref>
        </x14:conditionalFormatting>
        <x14:conditionalFormatting xmlns:xm="http://schemas.microsoft.com/office/excel/2006/main">
          <x14:cfRule type="expression" priority="56" stopIfTrue="1" id="{82C43576-38DE-FD49-A5AB-06DE7DC441B3}">
            <xm:f>(60 * HOUR(Y9) + MINUTE(Y9)) &gt;(60 * HOUR(INDEX('1.Locations'!G2:G10,T9 + 1)) +MINUTE(INDEX('1.Locations'!G2:G10,T9 + 1)))</xm:f>
            <x14:dxf>
              <fill>
                <patternFill>
                  <bgColor indexed="10"/>
                </patternFill>
              </fill>
            </x14:dxf>
          </x14:cfRule>
          <xm:sqref>Y9</xm:sqref>
        </x14:conditionalFormatting>
        <x14:conditionalFormatting xmlns:xm="http://schemas.microsoft.com/office/excel/2006/main">
          <x14:cfRule type="expression" priority="57" stopIfTrue="1" id="{8CE080FC-6094-0E46-BFD5-9DE55CA38EC0}">
            <xm:f>(60 * HOUR(Z9) + MINUTE(Z9)) &gt;(60 * HOUR(INDEX('1.Locations'!G2:G10,T9 + 1)) +MINUTE(INDEX('1.Locations'!G2:G10,T9 + 1)))</xm:f>
            <x14:dxf>
              <fill>
                <patternFill>
                  <bgColor indexed="10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ellIs" priority="58" stopIfTrue="1" operator="lessThan" id="{B8B1C400-26F8-E945-8270-8D5816625299}">
            <xm:f>INDEX('1.Locations'!F2:F10,T10 + 1)</xm:f>
            <x14:dxf>
              <fill>
                <patternFill>
                  <bgColor indexed="52"/>
                </patternFill>
              </fill>
            </x14:dxf>
          </x14:cfRule>
          <xm:sqref>Y10</xm:sqref>
        </x14:conditionalFormatting>
        <x14:conditionalFormatting xmlns:xm="http://schemas.microsoft.com/office/excel/2006/main">
          <x14:cfRule type="expression" priority="59" stopIfTrue="1" id="{07967774-9C9E-ED4C-A752-97FD07F07E32}">
            <xm:f>(60 * HOUR(Y10) + MINUTE(Y10)) &gt;(60 * HOUR(INDEX('1.Locations'!G2:G10,T10 + 1)) +MINUTE(INDEX('1.Locations'!G2:G10,T10 + 1)))</xm:f>
            <x14:dxf>
              <fill>
                <patternFill>
                  <bgColor indexed="10"/>
                </patternFill>
              </fill>
            </x14:dxf>
          </x14:cfRule>
          <xm:sqref>Y10</xm:sqref>
        </x14:conditionalFormatting>
        <x14:conditionalFormatting xmlns:xm="http://schemas.microsoft.com/office/excel/2006/main">
          <x14:cfRule type="expression" priority="60" stopIfTrue="1" id="{4A5E0BC2-62ED-DD47-B173-C3170D8A863A}">
            <xm:f>(60 * HOUR(Z10) + MINUTE(Z10)) &gt;(60 * HOUR(INDEX('1.Locations'!G2:G10,T10 + 1)) +MINUTE(INDEX('1.Locations'!G2:G10,T10 + 1)))</xm:f>
            <x14:dxf>
              <fill>
                <patternFill>
                  <bgColor indexed="10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ellIs" priority="61" stopIfTrue="1" operator="lessThan" id="{9596CADA-BB43-8749-AB6E-7FB59B7ADC08}">
            <xm:f>INDEX('1.Locations'!F2:F10,T11 + 1)</xm:f>
            <x14:dxf>
              <fill>
                <patternFill>
                  <bgColor indexed="52"/>
                </patternFill>
              </fill>
            </x14:dxf>
          </x14:cfRule>
          <xm:sqref>Y11</xm:sqref>
        </x14:conditionalFormatting>
        <x14:conditionalFormatting xmlns:xm="http://schemas.microsoft.com/office/excel/2006/main">
          <x14:cfRule type="expression" priority="62" stopIfTrue="1" id="{3BF77A0B-1876-E841-BB74-29E08A64C748}">
            <xm:f>(60 * HOUR(Y11) + MINUTE(Y11)) &gt;(60 * HOUR(INDEX('1.Locations'!G2:G10,T11 + 1)) +MINUTE(INDEX('1.Locations'!G2:G10,T11 + 1)))</xm:f>
            <x14:dxf>
              <fill>
                <patternFill>
                  <bgColor indexed="10"/>
                </patternFill>
              </fill>
            </x14:dxf>
          </x14:cfRule>
          <xm:sqref>Y11</xm:sqref>
        </x14:conditionalFormatting>
        <x14:conditionalFormatting xmlns:xm="http://schemas.microsoft.com/office/excel/2006/main">
          <x14:cfRule type="expression" priority="63" stopIfTrue="1" id="{42EEBE35-1624-B14E-91FB-DBA1B35C7B79}">
            <xm:f>(60 * HOUR(Z11) + MINUTE(Z11)) &gt;(60 * HOUR(INDEX('1.Locations'!G2:G10,T11 + 1)) +MINUTE(INDEX('1.Locations'!G2:G10,T11 + 1)))</xm:f>
            <x14:dxf>
              <fill>
                <patternFill>
                  <bgColor indexed="10"/>
                </patternFill>
              </fill>
            </x14:dxf>
          </x14:cfRule>
          <xm:sqref>Z11</xm:sqref>
        </x14:conditionalFormatting>
        <x14:conditionalFormatting xmlns:xm="http://schemas.microsoft.com/office/excel/2006/main">
          <x14:cfRule type="cellIs" priority="64" stopIfTrue="1" operator="lessThan" id="{BD441DA3-7F30-D340-9794-DC2C41BB93EC}">
            <xm:f>INDEX('1.Locations'!F2:F10,T12 + 1)</xm:f>
            <x14:dxf>
              <fill>
                <patternFill>
                  <bgColor indexed="52"/>
                </patternFill>
              </fill>
            </x14:dxf>
          </x14:cfRule>
          <xm:sqref>Y12</xm:sqref>
        </x14:conditionalFormatting>
        <x14:conditionalFormatting xmlns:xm="http://schemas.microsoft.com/office/excel/2006/main">
          <x14:cfRule type="expression" priority="65" stopIfTrue="1" id="{7173A4F4-697D-4948-80F1-15E91413187D}">
            <xm:f>(60 * HOUR(Y12) + MINUTE(Y12)) &gt;(60 * HOUR(INDEX('1.Locations'!G2:G10,T12 + 1)) +MINUTE(INDEX('1.Locations'!G2:G10,T12 + 1)))</xm:f>
            <x14:dxf>
              <fill>
                <patternFill>
                  <bgColor indexed="10"/>
                </patternFill>
              </fill>
            </x14:dxf>
          </x14:cfRule>
          <xm:sqref>Y12</xm:sqref>
        </x14:conditionalFormatting>
        <x14:conditionalFormatting xmlns:xm="http://schemas.microsoft.com/office/excel/2006/main">
          <x14:cfRule type="expression" priority="66" stopIfTrue="1" id="{D25073BC-8874-CB40-83E1-B2B406E1C320}">
            <xm:f>(60 * HOUR(Z12) + MINUTE(Z12)) &gt;(60 * HOUR(INDEX('1.Locations'!G2:G10,T12 + 1)) +MINUTE(INDEX('1.Locations'!G2:G10,T12 + 1)))</xm:f>
            <x14:dxf>
              <fill>
                <patternFill>
                  <bgColor indexed="10"/>
                </patternFill>
              </fill>
            </x14:dxf>
          </x14:cfRule>
          <xm:sqref>Z12</xm:sqref>
        </x14:conditionalFormatting>
        <x14:conditionalFormatting xmlns:xm="http://schemas.microsoft.com/office/excel/2006/main">
          <x14:cfRule type="cellIs" priority="67" stopIfTrue="1" operator="lessThan" id="{E62CF6C4-C0B7-1848-8205-ABF27FC424BC}">
            <xm:f>INDEX('1.Locations'!F2:F10,T13 + 1)</xm:f>
            <x14:dxf>
              <fill>
                <patternFill>
                  <bgColor indexed="52"/>
                </patternFill>
              </fill>
            </x14:dxf>
          </x14:cfRule>
          <xm:sqref>Y13</xm:sqref>
        </x14:conditionalFormatting>
        <x14:conditionalFormatting xmlns:xm="http://schemas.microsoft.com/office/excel/2006/main">
          <x14:cfRule type="expression" priority="68" stopIfTrue="1" id="{236F27CF-801B-BA43-873E-8347273F1B13}">
            <xm:f>(60 * HOUR(Y13) + MINUTE(Y13)) &gt;(60 * HOUR(INDEX('1.Locations'!G2:G10,T13 + 1)) +MINUTE(INDEX('1.Locations'!G2:G10,T13 + 1)))</xm:f>
            <x14:dxf>
              <fill>
                <patternFill>
                  <bgColor indexed="10"/>
                </patternFill>
              </fill>
            </x14:dxf>
          </x14:cfRule>
          <xm:sqref>Y13</xm:sqref>
        </x14:conditionalFormatting>
        <x14:conditionalFormatting xmlns:xm="http://schemas.microsoft.com/office/excel/2006/main">
          <x14:cfRule type="expression" priority="69" stopIfTrue="1" id="{D5114FA4-6A80-AE4A-9006-D3392A0385D6}">
            <xm:f>(60 * HOUR(Z13) + MINUTE(Z13)) &gt;(60 * HOUR(INDEX('1.Locations'!G2:G10,T13 + 1)) +MINUTE(INDEX('1.Locations'!G2:G10,T13 + 1)))</xm:f>
            <x14:dxf>
              <fill>
                <patternFill>
                  <bgColor indexed="10"/>
                </patternFill>
              </fill>
            </x14:dxf>
          </x14:cfRule>
          <xm:sqref>Z13</xm:sqref>
        </x14:conditionalFormatting>
        <x14:conditionalFormatting xmlns:xm="http://schemas.microsoft.com/office/excel/2006/main">
          <x14:cfRule type="cellIs" priority="70" stopIfTrue="1" operator="lessThan" id="{4D7B8AEB-9D83-E942-966D-C7FE7FAE542D}">
            <xm:f>INDEX('1.Locations'!F2:F10,T14 + 1)</xm:f>
            <x14:dxf>
              <fill>
                <patternFill>
                  <bgColor indexed="52"/>
                </patternFill>
              </fill>
            </x14:dxf>
          </x14:cfRule>
          <xm:sqref>Y14</xm:sqref>
        </x14:conditionalFormatting>
        <x14:conditionalFormatting xmlns:xm="http://schemas.microsoft.com/office/excel/2006/main">
          <x14:cfRule type="expression" priority="71" stopIfTrue="1" id="{E960853B-2EFE-E349-8F3A-6B26F1759F61}">
            <xm:f>(60 * HOUR(Y14) + MINUTE(Y14)) &gt;(60 * HOUR(INDEX('1.Locations'!G2:G10,T14 + 1)) +MINUTE(INDEX('1.Locations'!G2:G10,T14 + 1)))</xm:f>
            <x14:dxf>
              <fill>
                <patternFill>
                  <bgColor indexed="10"/>
                </patternFill>
              </fill>
            </x14:dxf>
          </x14:cfRule>
          <xm:sqref>Y14</xm:sqref>
        </x14:conditionalFormatting>
        <x14:conditionalFormatting xmlns:xm="http://schemas.microsoft.com/office/excel/2006/main">
          <x14:cfRule type="expression" priority="72" stopIfTrue="1" id="{521C702C-A6D2-4047-A60F-90CF9AE9AACC}">
            <xm:f>(60 * HOUR(Z14) + MINUTE(Z14)) &gt;(60 * HOUR(INDEX('1.Locations'!G2:G10,T14 + 1)) +MINUTE(INDEX('1.Locations'!G2:G10,T14 + 1)))</xm:f>
            <x14:dxf>
              <fill>
                <patternFill>
                  <bgColor indexed="10"/>
                </patternFill>
              </fill>
            </x14:dxf>
          </x14:cfRule>
          <xm:sqref>Z14</xm:sqref>
        </x14:conditionalFormatting>
        <x14:conditionalFormatting xmlns:xm="http://schemas.microsoft.com/office/excel/2006/main">
          <x14:cfRule type="cellIs" priority="73" stopIfTrue="1" operator="greaterThan" id="{D26FEF63-5A7B-0842-91CA-928CDE494382}">
            <xm:f>'3.Vehicles'!$G$3</xm:f>
            <x14:dxf>
              <fill>
                <patternFill>
                  <bgColor indexed="10"/>
                </patternFill>
              </fill>
            </x14:dxf>
          </x14:cfRule>
          <xm:sqref>W6:W14</xm:sqref>
        </x14:conditionalFormatting>
        <x14:conditionalFormatting xmlns:xm="http://schemas.microsoft.com/office/excel/2006/main">
          <x14:cfRule type="cellIs" priority="74" stopIfTrue="1" operator="greaterThan" id="{2ECCC0C1-C674-924D-B022-CF134776B332}">
            <xm:f>'3.Vehicles'!$C$3</xm:f>
            <x14:dxf>
              <fill>
                <patternFill>
                  <bgColor indexed="10"/>
                </patternFill>
              </fill>
            </x14:dxf>
          </x14:cfRule>
          <xm:sqref>AG6:AG14</xm:sqref>
        </x14:conditionalFormatting>
        <x14:conditionalFormatting xmlns:xm="http://schemas.microsoft.com/office/excel/2006/main">
          <x14:cfRule type="cellIs" priority="76" stopIfTrue="1" operator="greaterThan" id="{339567C7-9DEF-064E-9FEB-E480C433B5B1}">
            <xm:f>'3.Vehicles'!$I$3</xm:f>
            <x14:dxf>
              <fill>
                <patternFill>
                  <bgColor indexed="10"/>
                </patternFill>
              </fill>
            </x14:dxf>
          </x14:cfRule>
          <xm:sqref>X6:X14</xm:sqref>
        </x14:conditionalFormatting>
        <x14:conditionalFormatting xmlns:xm="http://schemas.microsoft.com/office/excel/2006/main">
          <x14:cfRule type="cellIs" priority="77" stopIfTrue="1" operator="greaterThan" id="{CF0E7B66-C40A-EF4A-8C1B-27335E94E27A}">
            <xm:f>'3.Vehicles'!$J$3</xm:f>
            <x14:dxf>
              <fill>
                <patternFill>
                  <bgColor indexed="10"/>
                </patternFill>
              </fill>
            </x14:dxf>
          </x14:cfRule>
          <xm:sqref>AA6:AA14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Warning" error="Please select a value from the list available in the selected cell." xr:uid="{3E7914C4-EB86-5743-A2C1-C95ADF8CB337}">
          <x14:formula1>
            <xm:f>'1.Locations'!$B$2:$B$11</xm:f>
          </x14:formula1>
          <xm:sqref>B6:B14 S6:S14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8B3B-D043-F944-968D-8DB5C350DE28}">
  <dimension ref="B2:AE182"/>
  <sheetViews>
    <sheetView tabSelected="1" topLeftCell="A147" zoomScale="88" workbookViewId="0">
      <selection activeCell="M171" sqref="M171"/>
    </sheetView>
  </sheetViews>
  <sheetFormatPr baseColWidth="10" defaultRowHeight="15" x14ac:dyDescent="0.2"/>
  <cols>
    <col min="14" max="14" width="19.5" bestFit="1" customWidth="1"/>
    <col min="15" max="15" width="22.6640625" customWidth="1"/>
    <col min="16" max="16" width="18" bestFit="1" customWidth="1"/>
    <col min="17" max="17" width="14.33203125" bestFit="1" customWidth="1"/>
  </cols>
  <sheetData>
    <row r="2" spans="2:29" x14ac:dyDescent="0.2">
      <c r="B2" s="7" t="s">
        <v>108</v>
      </c>
    </row>
    <row r="3" spans="2:29" ht="16" x14ac:dyDescent="0.2">
      <c r="B3" s="79"/>
      <c r="C3" s="79">
        <v>0</v>
      </c>
      <c r="D3" s="79">
        <v>1</v>
      </c>
      <c r="E3" s="79">
        <v>2</v>
      </c>
      <c r="F3" s="79">
        <v>3</v>
      </c>
      <c r="G3" s="79">
        <v>4</v>
      </c>
      <c r="H3" s="79">
        <v>5</v>
      </c>
      <c r="I3" s="79">
        <v>6</v>
      </c>
      <c r="J3" s="79">
        <v>7</v>
      </c>
      <c r="K3" s="79">
        <v>8</v>
      </c>
      <c r="N3" s="82" t="s">
        <v>110</v>
      </c>
      <c r="O3" s="82" t="s">
        <v>142</v>
      </c>
      <c r="P3" s="82" t="s">
        <v>112</v>
      </c>
    </row>
    <row r="4" spans="2:29" ht="16" x14ac:dyDescent="0.2">
      <c r="B4" s="78">
        <v>0</v>
      </c>
      <c r="C4" s="81" cm="1">
        <f t="array" ref="C4:K4">TRANSPOSE('2.Distances'!C2:C10)</f>
        <v>0</v>
      </c>
      <c r="D4" s="81">
        <v>29.027871167207564</v>
      </c>
      <c r="E4" s="81">
        <v>18.901010920318523</v>
      </c>
      <c r="F4" s="81">
        <v>15.4432955475831</v>
      </c>
      <c r="G4" s="81">
        <v>4.0774078652987384</v>
      </c>
      <c r="H4" s="81">
        <v>9.2461403547642469</v>
      </c>
      <c r="I4" s="81">
        <v>12.123684570294625</v>
      </c>
      <c r="J4" s="81">
        <v>17.542756201349881</v>
      </c>
      <c r="K4" s="81">
        <v>11.840011265619644</v>
      </c>
      <c r="N4" s="83" t="s">
        <v>111</v>
      </c>
      <c r="O4" s="83">
        <v>0</v>
      </c>
      <c r="P4" s="83">
        <v>0</v>
      </c>
    </row>
    <row r="5" spans="2:29" ht="16" x14ac:dyDescent="0.2">
      <c r="B5" s="78">
        <v>1</v>
      </c>
      <c r="C5" s="81" cm="1">
        <f t="array" ref="C5:K5">TRANSPOSE('2.Distances'!C11:C19)</f>
        <v>29.027871167207564</v>
      </c>
      <c r="D5" s="81">
        <v>0</v>
      </c>
      <c r="E5" s="81">
        <v>15.673375756677313</v>
      </c>
      <c r="F5" s="81">
        <v>13.951006786967028</v>
      </c>
      <c r="G5" s="81">
        <v>32.728305489285574</v>
      </c>
      <c r="H5" s="81">
        <v>37.650920330849814</v>
      </c>
      <c r="I5" s="81">
        <v>31.024064109332937</v>
      </c>
      <c r="J5" s="81">
        <v>46.122963305060956</v>
      </c>
      <c r="K5" s="81">
        <v>20.236299547348075</v>
      </c>
      <c r="N5" s="83">
        <v>1</v>
      </c>
      <c r="O5" s="84">
        <v>1</v>
      </c>
      <c r="P5" s="84">
        <v>45</v>
      </c>
    </row>
    <row r="6" spans="2:29" ht="16" x14ac:dyDescent="0.2">
      <c r="B6" s="78">
        <v>2</v>
      </c>
      <c r="C6" s="81" cm="1">
        <f t="array" ref="C6:K6">TRANSPOSE('2.Distances'!C20:C28)</f>
        <v>18.901010920318523</v>
      </c>
      <c r="D6" s="81">
        <v>15.673375756677313</v>
      </c>
      <c r="E6" s="81">
        <v>0</v>
      </c>
      <c r="F6" s="81">
        <v>11.701528395897689</v>
      </c>
      <c r="G6" s="81">
        <v>22.973453273942081</v>
      </c>
      <c r="H6" s="81">
        <v>25.476467042547316</v>
      </c>
      <c r="I6" s="81">
        <v>16.20966103192784</v>
      </c>
      <c r="J6" s="81">
        <v>36.203406693983915</v>
      </c>
      <c r="K6" s="81">
        <v>17.16844016677112</v>
      </c>
      <c r="N6" s="83">
        <v>2</v>
      </c>
      <c r="O6" s="83">
        <v>0</v>
      </c>
      <c r="P6" s="83">
        <v>60</v>
      </c>
    </row>
    <row r="7" spans="2:29" ht="16" x14ac:dyDescent="0.2">
      <c r="B7" s="78">
        <v>3</v>
      </c>
      <c r="C7" s="81" cm="1">
        <f t="array" ref="C7:K7">TRANSPOSE('2.Distances'!C29:C37)</f>
        <v>15.4432955475831</v>
      </c>
      <c r="D7" s="81">
        <v>13.951006786967028</v>
      </c>
      <c r="E7" s="81">
        <v>11.701528395897689</v>
      </c>
      <c r="F7" s="81">
        <v>0</v>
      </c>
      <c r="G7" s="81">
        <v>18.92584824017143</v>
      </c>
      <c r="H7" s="81">
        <v>24.474604932664384</v>
      </c>
      <c r="I7" s="81">
        <v>20.66876741390255</v>
      </c>
      <c r="J7" s="81">
        <v>32.206388522310277</v>
      </c>
      <c r="K7" s="81">
        <v>6.8503269002289207</v>
      </c>
      <c r="N7" s="83">
        <v>3</v>
      </c>
      <c r="O7" s="84">
        <v>1</v>
      </c>
      <c r="P7" s="84">
        <v>55</v>
      </c>
    </row>
    <row r="8" spans="2:29" ht="16" x14ac:dyDescent="0.2">
      <c r="B8" s="78">
        <v>4</v>
      </c>
      <c r="C8" s="81" cm="1">
        <f t="array" ref="C8:K8">TRANSPOSE('2.Distances'!C38:C46)</f>
        <v>4.0774078652987384</v>
      </c>
      <c r="D8" s="81">
        <v>32.728305489285574</v>
      </c>
      <c r="E8" s="81">
        <v>22.973453273942081</v>
      </c>
      <c r="F8" s="81">
        <v>18.92584824017143</v>
      </c>
      <c r="G8" s="81">
        <v>0</v>
      </c>
      <c r="H8" s="81">
        <v>7.373289450442047</v>
      </c>
      <c r="I8" s="81">
        <v>14.527703742161046</v>
      </c>
      <c r="J8" s="81">
        <v>13.54676377294591</v>
      </c>
      <c r="K8" s="81">
        <v>14.323112931552279</v>
      </c>
      <c r="N8" s="83">
        <v>4</v>
      </c>
      <c r="O8" s="83">
        <v>0</v>
      </c>
      <c r="P8" s="83">
        <v>50</v>
      </c>
    </row>
    <row r="9" spans="2:29" ht="16" x14ac:dyDescent="0.2">
      <c r="B9" s="78">
        <v>5</v>
      </c>
      <c r="C9" s="81" cm="1">
        <f t="array" ref="C9:K9">TRANSPOSE('2.Distances'!C47:C55)</f>
        <v>9.2461403547642469</v>
      </c>
      <c r="D9" s="81">
        <v>37.650920330849814</v>
      </c>
      <c r="E9" s="81">
        <v>25.476467042547316</v>
      </c>
      <c r="F9" s="81">
        <v>24.474604932664384</v>
      </c>
      <c r="G9" s="81">
        <v>7.373289450442047</v>
      </c>
      <c r="H9" s="81">
        <v>0</v>
      </c>
      <c r="I9" s="81">
        <v>12.181503704387234</v>
      </c>
      <c r="J9" s="81">
        <v>12.128481390512167</v>
      </c>
      <c r="K9" s="81">
        <v>21.018531090682814</v>
      </c>
      <c r="N9" s="83">
        <v>5</v>
      </c>
      <c r="O9" s="84">
        <v>1</v>
      </c>
      <c r="P9" s="84">
        <v>30</v>
      </c>
    </row>
    <row r="10" spans="2:29" ht="16" x14ac:dyDescent="0.2">
      <c r="B10" s="78">
        <v>6</v>
      </c>
      <c r="C10" s="81" cm="1">
        <f t="array" ref="C10:K10">TRANSPOSE('2.Distances'!C56:C64)</f>
        <v>12.123684570294625</v>
      </c>
      <c r="D10" s="81">
        <v>31.024064109332937</v>
      </c>
      <c r="E10" s="81">
        <v>16.20966103192784</v>
      </c>
      <c r="F10" s="81">
        <v>20.66876741390255</v>
      </c>
      <c r="G10" s="81">
        <v>14.527703742161046</v>
      </c>
      <c r="H10" s="81">
        <v>12.181503704387234</v>
      </c>
      <c r="I10" s="81">
        <v>0</v>
      </c>
      <c r="J10" s="81">
        <v>24.301021154264273</v>
      </c>
      <c r="K10" s="81">
        <v>20.885955171119182</v>
      </c>
      <c r="N10" s="83">
        <v>6</v>
      </c>
      <c r="O10" s="83">
        <v>0</v>
      </c>
      <c r="P10" s="83">
        <v>45</v>
      </c>
    </row>
    <row r="11" spans="2:29" ht="16" x14ac:dyDescent="0.2">
      <c r="B11" s="78">
        <v>7</v>
      </c>
      <c r="C11" s="81" cm="1">
        <f t="array" ref="C11:K11">TRANSPOSE('2.Distances'!C65:C73)</f>
        <v>17.542756201349881</v>
      </c>
      <c r="D11" s="81">
        <v>46.122963305060956</v>
      </c>
      <c r="E11" s="81">
        <v>36.203406693983915</v>
      </c>
      <c r="F11" s="81">
        <v>32.206388522310277</v>
      </c>
      <c r="G11" s="81">
        <v>13.54676377294591</v>
      </c>
      <c r="H11" s="81">
        <v>12.128481390512167</v>
      </c>
      <c r="I11" s="81">
        <v>24.301021154264273</v>
      </c>
      <c r="J11" s="81">
        <v>0</v>
      </c>
      <c r="K11" s="81">
        <v>26.749375526355749</v>
      </c>
      <c r="N11" s="83">
        <v>7</v>
      </c>
      <c r="O11" s="84">
        <v>1</v>
      </c>
      <c r="P11" s="84">
        <v>50</v>
      </c>
    </row>
    <row r="12" spans="2:29" ht="16" x14ac:dyDescent="0.2">
      <c r="B12" s="78">
        <v>8</v>
      </c>
      <c r="C12" s="81" cm="1">
        <f t="array" ref="C12:K12">TRANSPOSE('2.Distances'!C74:C82)</f>
        <v>11.840011265619644</v>
      </c>
      <c r="D12" s="81">
        <v>20.236299547348075</v>
      </c>
      <c r="E12" s="81">
        <v>17.16844016677112</v>
      </c>
      <c r="F12" s="81">
        <v>6.8503269002289207</v>
      </c>
      <c r="G12" s="81">
        <v>14.323112931552279</v>
      </c>
      <c r="H12" s="81">
        <v>21.018531090682814</v>
      </c>
      <c r="I12" s="81">
        <v>20.885955171119182</v>
      </c>
      <c r="J12" s="81">
        <v>26.749375526355749</v>
      </c>
      <c r="K12" s="81">
        <v>0</v>
      </c>
      <c r="N12" s="83">
        <v>8</v>
      </c>
      <c r="O12" s="83">
        <v>0</v>
      </c>
      <c r="P12" s="83">
        <v>55</v>
      </c>
    </row>
    <row r="14" spans="2:29" x14ac:dyDescent="0.2">
      <c r="B14" s="7" t="s">
        <v>109</v>
      </c>
    </row>
    <row r="15" spans="2:29" ht="16" x14ac:dyDescent="0.2">
      <c r="B15" s="78"/>
      <c r="C15" s="78">
        <v>0</v>
      </c>
      <c r="D15" s="78">
        <v>1</v>
      </c>
      <c r="E15" s="78">
        <v>2</v>
      </c>
      <c r="F15" s="78">
        <v>3</v>
      </c>
      <c r="G15" s="78">
        <v>4</v>
      </c>
      <c r="H15" s="78">
        <v>5</v>
      </c>
      <c r="I15" s="78">
        <v>6</v>
      </c>
      <c r="J15" s="78">
        <v>7</v>
      </c>
      <c r="K15" s="78">
        <v>8</v>
      </c>
      <c r="N15" s="100" t="s">
        <v>133</v>
      </c>
    </row>
    <row r="16" spans="2:29" x14ac:dyDescent="0.2">
      <c r="B16" s="79">
        <v>0</v>
      </c>
      <c r="C16" s="81">
        <f>$C4+C$4-C4</f>
        <v>0</v>
      </c>
      <c r="D16" s="81">
        <f>$C4+D$4-D4</f>
        <v>0</v>
      </c>
      <c r="E16" s="81">
        <f>$C4+E$4-E4</f>
        <v>0</v>
      </c>
      <c r="F16" s="81">
        <f>$C4+F$4-F4</f>
        <v>0</v>
      </c>
      <c r="G16" s="81">
        <f>$C4+G$4-G4</f>
        <v>0</v>
      </c>
      <c r="H16" s="81">
        <f>$C4+H$4-H4</f>
        <v>0</v>
      </c>
      <c r="I16" s="81">
        <f>$C4+I$4-I4</f>
        <v>0</v>
      </c>
      <c r="J16" s="81">
        <f>$C4+J$4-J4</f>
        <v>0</v>
      </c>
      <c r="K16" s="81">
        <f>$C4+K$4-K4</f>
        <v>0</v>
      </c>
      <c r="N16" s="56" t="str">
        <f>_xlfn.CONCAT("0-",B16,"-0")</f>
        <v>0-0-0</v>
      </c>
      <c r="P16" t="s">
        <v>122</v>
      </c>
      <c r="Q16">
        <v>110</v>
      </c>
      <c r="T16" s="80"/>
      <c r="U16" s="80">
        <v>0</v>
      </c>
      <c r="V16" s="80">
        <v>1</v>
      </c>
      <c r="W16" s="80">
        <v>2</v>
      </c>
      <c r="X16" s="80">
        <v>3</v>
      </c>
      <c r="Y16" s="80">
        <v>4</v>
      </c>
      <c r="Z16" s="80">
        <v>5</v>
      </c>
      <c r="AA16" s="80">
        <v>6</v>
      </c>
      <c r="AB16" s="80">
        <v>7</v>
      </c>
      <c r="AC16" s="80">
        <v>8</v>
      </c>
    </row>
    <row r="17" spans="2:29" x14ac:dyDescent="0.2">
      <c r="B17" s="79">
        <v>1</v>
      </c>
      <c r="C17" s="81">
        <f>$C5+C$4-C5</f>
        <v>0</v>
      </c>
      <c r="D17" s="92">
        <v>0</v>
      </c>
      <c r="E17" s="81">
        <f>$C5+E$4-E5</f>
        <v>32.255506330848775</v>
      </c>
      <c r="F17" s="81">
        <f>$C5+F$4-F5</f>
        <v>30.520159927823634</v>
      </c>
      <c r="G17" s="81">
        <f>$C5+G$4-G5</f>
        <v>0.3769735432207284</v>
      </c>
      <c r="H17" s="81">
        <f>$C5+H$4-H5</f>
        <v>0.62309119112200051</v>
      </c>
      <c r="I17" s="81">
        <f>$C5+I$4-I5</f>
        <v>10.127491628169256</v>
      </c>
      <c r="J17" s="81">
        <f>$C5+J$4-J5</f>
        <v>0.44766406349648946</v>
      </c>
      <c r="K17" s="81">
        <f>$C5+K$4-K5</f>
        <v>20.631582885479133</v>
      </c>
      <c r="N17" s="56" t="str">
        <f t="shared" ref="N17:N24" si="0">_xlfn.CONCAT("0-",B17,"-0")</f>
        <v>0-1-0</v>
      </c>
      <c r="T17" s="80" t="s">
        <v>141</v>
      </c>
      <c r="U17" s="111"/>
      <c r="V17" s="80"/>
      <c r="W17" s="80"/>
      <c r="X17" s="80"/>
      <c r="Y17" s="80"/>
      <c r="Z17" s="80"/>
      <c r="AA17" s="80"/>
      <c r="AB17" s="80"/>
      <c r="AC17" s="80"/>
    </row>
    <row r="18" spans="2:29" x14ac:dyDescent="0.2">
      <c r="B18" s="79">
        <v>2</v>
      </c>
      <c r="C18" s="81">
        <f>$C6+C$4-C6</f>
        <v>0</v>
      </c>
      <c r="D18" s="81">
        <f>$C6+D$4-D6</f>
        <v>32.255506330848775</v>
      </c>
      <c r="E18" s="92">
        <v>0</v>
      </c>
      <c r="F18" s="81">
        <f>$C6+F$4-F6</f>
        <v>22.642778072003935</v>
      </c>
      <c r="G18" s="81">
        <f>$C6+G$4-G6</f>
        <v>4.9655116751807782E-3</v>
      </c>
      <c r="H18" s="81">
        <f>$C6+H$4-H6</f>
        <v>2.6706842325354536</v>
      </c>
      <c r="I18" s="81">
        <f>$C6+I$4-I6</f>
        <v>14.815034458685307</v>
      </c>
      <c r="J18" s="81">
        <f>$C6+J$4-J6</f>
        <v>0.24036042768448596</v>
      </c>
      <c r="K18" s="81">
        <f>$C6+K$4-K6</f>
        <v>13.572582019167047</v>
      </c>
      <c r="N18" s="56" t="str">
        <f t="shared" si="0"/>
        <v>0-2-0</v>
      </c>
      <c r="T18" s="80" t="s">
        <v>139</v>
      </c>
      <c r="U18" s="80"/>
      <c r="V18" s="80"/>
      <c r="W18" s="80">
        <f>$P$6</f>
        <v>60</v>
      </c>
      <c r="X18" s="80"/>
      <c r="Y18" s="80">
        <f>$P$8</f>
        <v>50</v>
      </c>
      <c r="Z18" s="80"/>
      <c r="AA18" s="80">
        <f>$P$10</f>
        <v>45</v>
      </c>
      <c r="AB18" s="80"/>
      <c r="AC18" s="80">
        <f>$P$12</f>
        <v>55</v>
      </c>
    </row>
    <row r="19" spans="2:29" x14ac:dyDescent="0.2">
      <c r="B19" s="79">
        <v>3</v>
      </c>
      <c r="C19" s="81">
        <f>$C7+C$4-C7</f>
        <v>0</v>
      </c>
      <c r="D19" s="81">
        <f>$C7+D$4-D7</f>
        <v>30.520159927823634</v>
      </c>
      <c r="E19" s="81">
        <f>$C7+E$4-E7</f>
        <v>22.642778072003935</v>
      </c>
      <c r="F19" s="92">
        <v>0</v>
      </c>
      <c r="G19" s="81">
        <f>$C7+G$4-G7</f>
        <v>0.59485517271040678</v>
      </c>
      <c r="H19" s="81">
        <f>$C7+H$4-H7</f>
        <v>0.21483096968296422</v>
      </c>
      <c r="I19" s="81">
        <f>$C7+I$4-I7</f>
        <v>6.8982127039751759</v>
      </c>
      <c r="J19" s="81">
        <f>$C7+J$4-J7</f>
        <v>0.77966322662270215</v>
      </c>
      <c r="K19" s="81">
        <f>$C7+K$4-K7</f>
        <v>20.432979912973821</v>
      </c>
      <c r="N19" s="56" t="str">
        <f t="shared" si="0"/>
        <v>0-3-0</v>
      </c>
      <c r="T19" s="80" t="s">
        <v>140</v>
      </c>
      <c r="U19" s="80"/>
      <c r="V19" s="80">
        <f>$P$5</f>
        <v>45</v>
      </c>
      <c r="W19" s="80"/>
      <c r="X19" s="80">
        <f>$P$7</f>
        <v>55</v>
      </c>
      <c r="Y19" s="80"/>
      <c r="Z19" s="80">
        <f>$P$9</f>
        <v>30</v>
      </c>
      <c r="AA19" s="80"/>
      <c r="AB19" s="80">
        <f>$P$11</f>
        <v>50</v>
      </c>
      <c r="AC19" s="80"/>
    </row>
    <row r="20" spans="2:29" x14ac:dyDescent="0.2">
      <c r="B20" s="79">
        <v>4</v>
      </c>
      <c r="C20" s="81">
        <f>$C8+C$4-C8</f>
        <v>0</v>
      </c>
      <c r="D20" s="81">
        <f>$C8+D$4-D8</f>
        <v>0.3769735432207284</v>
      </c>
      <c r="E20" s="81">
        <f>$C8+E$4-E8</f>
        <v>4.9655116751807782E-3</v>
      </c>
      <c r="F20" s="81">
        <f>$C8+F$4-F8</f>
        <v>0.59485517271040678</v>
      </c>
      <c r="G20" s="92">
        <v>0</v>
      </c>
      <c r="H20" s="81">
        <f>$C8+H$4-H8</f>
        <v>5.9502587696209384</v>
      </c>
      <c r="I20" s="81">
        <f>$C8+I$4-I8</f>
        <v>1.673388693432317</v>
      </c>
      <c r="J20" s="81">
        <f>$C8+J$4-J8</f>
        <v>8.0734002937027096</v>
      </c>
      <c r="K20" s="81">
        <f>$C8+K$4-K8</f>
        <v>1.5943061993661036</v>
      </c>
      <c r="N20" s="56" t="str">
        <f t="shared" si="0"/>
        <v>0-4-0</v>
      </c>
    </row>
    <row r="21" spans="2:29" x14ac:dyDescent="0.2">
      <c r="B21" s="79">
        <v>5</v>
      </c>
      <c r="C21" s="81">
        <f>$C9+C$4-C9</f>
        <v>0</v>
      </c>
      <c r="D21" s="81">
        <f>$C9+D$4-D9</f>
        <v>0.62309119112200051</v>
      </c>
      <c r="E21" s="81">
        <f>$C9+E$4-E9</f>
        <v>2.6706842325354536</v>
      </c>
      <c r="F21" s="81">
        <f>$C9+F$4-F9</f>
        <v>0.21483096968296422</v>
      </c>
      <c r="G21" s="81">
        <f>$C9+G$4-G9</f>
        <v>5.9502587696209384</v>
      </c>
      <c r="H21" s="92">
        <v>0</v>
      </c>
      <c r="I21" s="81">
        <f>$C9+I$4-I9</f>
        <v>9.1883212206716376</v>
      </c>
      <c r="J21" s="81">
        <f>$C9+J$4-J9</f>
        <v>14.660415165601961</v>
      </c>
      <c r="K21" s="81">
        <f>$C9+K$4-K9</f>
        <v>6.7620529701077459E-2</v>
      </c>
      <c r="N21" s="56" t="str">
        <f t="shared" si="0"/>
        <v>0-5-0</v>
      </c>
    </row>
    <row r="22" spans="2:29" x14ac:dyDescent="0.2">
      <c r="B22" s="79">
        <v>6</v>
      </c>
      <c r="C22" s="81">
        <f>$C10+C$4-C10</f>
        <v>0</v>
      </c>
      <c r="D22" s="81">
        <f>$C10+D$4-D10</f>
        <v>10.127491628169256</v>
      </c>
      <c r="E22" s="81">
        <f>$C10+E$4-E10</f>
        <v>14.815034458685307</v>
      </c>
      <c r="F22" s="81">
        <f>$C10+F$4-F10</f>
        <v>6.8982127039751759</v>
      </c>
      <c r="G22" s="81">
        <f>$C10+G$4-G10</f>
        <v>1.673388693432317</v>
      </c>
      <c r="H22" s="81">
        <f>$C10+H$4-H10</f>
        <v>9.1883212206716376</v>
      </c>
      <c r="I22" s="92">
        <v>0</v>
      </c>
      <c r="J22" s="81">
        <f>$C10+J$4-J10</f>
        <v>5.3654196173802333</v>
      </c>
      <c r="K22" s="81">
        <f>$C10+K$4-K10</f>
        <v>3.0777406647950869</v>
      </c>
      <c r="N22" s="56" t="str">
        <f t="shared" si="0"/>
        <v>0-6-0</v>
      </c>
    </row>
    <row r="23" spans="2:29" x14ac:dyDescent="0.2">
      <c r="B23" s="79">
        <v>7</v>
      </c>
      <c r="C23" s="81">
        <f>$C11+C$4-C11</f>
        <v>0</v>
      </c>
      <c r="D23" s="81">
        <f>$C11+D$4-D11</f>
        <v>0.44766406349648946</v>
      </c>
      <c r="E23" s="81">
        <f>$C11+E$4-E11</f>
        <v>0.24036042768448596</v>
      </c>
      <c r="F23" s="81">
        <f>$C11+F$4-F11</f>
        <v>0.77966322662270215</v>
      </c>
      <c r="G23" s="81">
        <f>$C11+G$4-G11</f>
        <v>8.0734002937027096</v>
      </c>
      <c r="H23" s="81">
        <f>$C11+H$4-H11</f>
        <v>14.660415165601961</v>
      </c>
      <c r="I23" s="81">
        <f>$C11+I$4-I11</f>
        <v>5.3654196173802333</v>
      </c>
      <c r="J23" s="92">
        <v>0</v>
      </c>
      <c r="K23" s="81">
        <f>$C11+K$4-K11</f>
        <v>2.6333919406137767</v>
      </c>
      <c r="N23" s="56" t="str">
        <f t="shared" si="0"/>
        <v>0-7-0</v>
      </c>
    </row>
    <row r="24" spans="2:29" x14ac:dyDescent="0.2">
      <c r="B24" s="79">
        <v>8</v>
      </c>
      <c r="C24" s="81">
        <f>$C12+C$4-C12</f>
        <v>0</v>
      </c>
      <c r="D24" s="81">
        <f>$C12+D$4-D12</f>
        <v>20.631582885479133</v>
      </c>
      <c r="E24" s="81">
        <f>$C12+E$4-E12</f>
        <v>13.572582019167047</v>
      </c>
      <c r="F24" s="81">
        <f>$C12+F$4-F12</f>
        <v>20.432979912973821</v>
      </c>
      <c r="G24" s="81">
        <f>$C12+G$4-G12</f>
        <v>1.5943061993661036</v>
      </c>
      <c r="H24" s="81">
        <f>$C12+H$4-H12</f>
        <v>6.7620529701077459E-2</v>
      </c>
      <c r="I24" s="81">
        <f>$C12+I$4-I12</f>
        <v>3.0777406647950869</v>
      </c>
      <c r="J24" s="81">
        <f>$C12+J$4-J12</f>
        <v>2.6333919406137767</v>
      </c>
      <c r="K24" s="92">
        <v>0</v>
      </c>
      <c r="N24" s="56" t="str">
        <f t="shared" si="0"/>
        <v>0-8-0</v>
      </c>
    </row>
    <row r="27" spans="2:29" x14ac:dyDescent="0.2">
      <c r="B27" s="7" t="s">
        <v>113</v>
      </c>
      <c r="C27" s="85"/>
      <c r="D27" s="86"/>
      <c r="E27" s="86"/>
      <c r="F27" s="86"/>
      <c r="G27" s="86"/>
      <c r="H27" s="86"/>
      <c r="I27" s="86"/>
      <c r="J27" s="86"/>
      <c r="K27" s="86"/>
    </row>
    <row r="28" spans="2:29" x14ac:dyDescent="0.2">
      <c r="B28" s="87"/>
      <c r="C28" s="87">
        <v>0</v>
      </c>
      <c r="D28" s="87">
        <v>1</v>
      </c>
      <c r="E28" s="87">
        <v>2</v>
      </c>
      <c r="F28" s="87">
        <v>3</v>
      </c>
      <c r="G28" s="87">
        <v>4</v>
      </c>
      <c r="H28" s="87">
        <v>5</v>
      </c>
      <c r="I28" s="87">
        <v>6</v>
      </c>
      <c r="J28" s="87">
        <v>7</v>
      </c>
      <c r="K28" s="87">
        <v>8</v>
      </c>
      <c r="N28" s="7" t="s">
        <v>137</v>
      </c>
      <c r="Q28" s="7" t="s">
        <v>120</v>
      </c>
      <c r="T28" s="7" t="s">
        <v>134</v>
      </c>
    </row>
    <row r="29" spans="2:29" x14ac:dyDescent="0.2">
      <c r="B29" s="87">
        <v>0</v>
      </c>
      <c r="C29" s="88">
        <v>0</v>
      </c>
      <c r="D29" s="106">
        <v>0</v>
      </c>
      <c r="E29" s="89">
        <v>0</v>
      </c>
      <c r="F29" s="89">
        <v>0</v>
      </c>
      <c r="G29" s="89">
        <v>0</v>
      </c>
      <c r="H29" s="89">
        <v>0</v>
      </c>
      <c r="I29" s="89">
        <v>0</v>
      </c>
      <c r="J29" s="89">
        <v>0</v>
      </c>
      <c r="K29" s="89">
        <v>0</v>
      </c>
      <c r="N29" s="95" t="s">
        <v>118</v>
      </c>
      <c r="O29" s="80" t="s">
        <v>119</v>
      </c>
      <c r="Q29" s="80" t="s">
        <v>121</v>
      </c>
      <c r="R29" s="75">
        <f>P6</f>
        <v>60</v>
      </c>
      <c r="T29" s="80" t="s">
        <v>125</v>
      </c>
    </row>
    <row r="30" spans="2:29" x14ac:dyDescent="0.2">
      <c r="B30" s="87">
        <v>1</v>
      </c>
      <c r="C30" s="90">
        <v>0</v>
      </c>
      <c r="D30" s="104">
        <v>0</v>
      </c>
      <c r="E30" s="94"/>
      <c r="F30" s="91">
        <v>30.520159899999999</v>
      </c>
      <c r="G30" s="91">
        <v>0.37697354</v>
      </c>
      <c r="H30" s="91">
        <v>0.62309119000000002</v>
      </c>
      <c r="I30" s="91">
        <v>10.127491600000001</v>
      </c>
      <c r="J30" s="91">
        <v>0.44766405999999997</v>
      </c>
      <c r="K30" s="91">
        <v>20.631582900000002</v>
      </c>
      <c r="N30" s="96" t="s">
        <v>114</v>
      </c>
      <c r="O30" s="97"/>
      <c r="Q30" s="75" t="s">
        <v>123</v>
      </c>
      <c r="R30" s="75">
        <f>R29-P6</f>
        <v>0</v>
      </c>
      <c r="T30" s="95" t="s">
        <v>119</v>
      </c>
      <c r="U30" t="s">
        <v>132</v>
      </c>
    </row>
    <row r="31" spans="2:29" x14ac:dyDescent="0.2">
      <c r="B31" s="87">
        <v>2</v>
      </c>
      <c r="C31" s="102">
        <v>0</v>
      </c>
      <c r="D31" s="126">
        <v>32.2555063</v>
      </c>
      <c r="E31" s="104">
        <v>0</v>
      </c>
      <c r="F31" s="103">
        <v>22.642778100000001</v>
      </c>
      <c r="G31" s="103">
        <v>4.9655100000000002E-3</v>
      </c>
      <c r="H31" s="103">
        <v>2.67068423</v>
      </c>
      <c r="I31" s="103">
        <v>14.815034499999999</v>
      </c>
      <c r="J31" s="103">
        <v>0.24036043000000001</v>
      </c>
      <c r="K31" s="103">
        <v>13.572582000000001</v>
      </c>
      <c r="N31" s="95" t="s">
        <v>115</v>
      </c>
      <c r="O31" s="99" t="s">
        <v>135</v>
      </c>
      <c r="Q31" s="75" t="s">
        <v>124</v>
      </c>
      <c r="R31" s="75">
        <f>P5</f>
        <v>45</v>
      </c>
      <c r="T31" s="80" t="s">
        <v>126</v>
      </c>
    </row>
    <row r="32" spans="2:29" x14ac:dyDescent="0.2">
      <c r="B32" s="87">
        <v>3</v>
      </c>
      <c r="C32" s="90">
        <v>0</v>
      </c>
      <c r="D32" s="103">
        <v>30.520159899999999</v>
      </c>
      <c r="E32" s="91">
        <v>22.642778100000001</v>
      </c>
      <c r="F32" s="93">
        <v>0</v>
      </c>
      <c r="G32" s="91">
        <v>0.59485516999999999</v>
      </c>
      <c r="H32" s="91">
        <v>0.21483097000000001</v>
      </c>
      <c r="I32" s="91">
        <v>6.8982127000000002</v>
      </c>
      <c r="J32" s="91">
        <v>0.77966323000000004</v>
      </c>
      <c r="K32" s="91">
        <v>20.432979899999999</v>
      </c>
      <c r="N32" s="95" t="s">
        <v>116</v>
      </c>
      <c r="O32" s="99" t="s">
        <v>135</v>
      </c>
      <c r="T32" s="80" t="s">
        <v>127</v>
      </c>
    </row>
    <row r="33" spans="2:31" x14ac:dyDescent="0.2">
      <c r="B33" s="87">
        <v>4</v>
      </c>
      <c r="C33" s="90">
        <v>0</v>
      </c>
      <c r="D33" s="103">
        <v>0.37697354</v>
      </c>
      <c r="E33" s="91">
        <v>4.9655100000000002E-3</v>
      </c>
      <c r="F33" s="91">
        <v>0.59485516999999999</v>
      </c>
      <c r="G33" s="93">
        <v>0</v>
      </c>
      <c r="H33" s="91">
        <v>5.9502587699999996</v>
      </c>
      <c r="I33" s="91">
        <v>1.6733886899999999</v>
      </c>
      <c r="J33" s="91">
        <v>8.0734002900000004</v>
      </c>
      <c r="K33" s="91">
        <v>1.5943061999999999</v>
      </c>
      <c r="N33" s="95" t="s">
        <v>120</v>
      </c>
      <c r="O33" s="99" t="b">
        <f>IF(R29&lt;=$Q$16,IF(R30&lt;=$Q$16,(IF(R31&lt;=$Q$16,TRUE,FALSE)),FALSE),FALSE)</f>
        <v>1</v>
      </c>
      <c r="Q33" s="7" t="s">
        <v>136</v>
      </c>
      <c r="T33" s="80" t="s">
        <v>128</v>
      </c>
    </row>
    <row r="34" spans="2:31" x14ac:dyDescent="0.2">
      <c r="B34" s="87">
        <v>5</v>
      </c>
      <c r="C34" s="90">
        <v>0</v>
      </c>
      <c r="D34" s="103">
        <v>0.62309119000000002</v>
      </c>
      <c r="E34" s="91">
        <v>2.67068423</v>
      </c>
      <c r="F34" s="91">
        <v>0.21483097000000001</v>
      </c>
      <c r="G34" s="91">
        <v>5.9502587699999996</v>
      </c>
      <c r="H34" s="93">
        <v>0</v>
      </c>
      <c r="I34" s="91">
        <v>9.1883212200000006</v>
      </c>
      <c r="J34" s="91">
        <v>14.660415199999999</v>
      </c>
      <c r="K34" s="91">
        <v>6.7620529999999998E-2</v>
      </c>
      <c r="N34" s="98" t="s">
        <v>117</v>
      </c>
      <c r="O34" s="99" t="b">
        <f>IF(Q34-R34&lt;=0,TRUE,FALSE)</f>
        <v>1</v>
      </c>
      <c r="Q34" s="80">
        <v>0</v>
      </c>
      <c r="R34" s="80">
        <v>1</v>
      </c>
      <c r="T34" s="80" t="s">
        <v>129</v>
      </c>
    </row>
    <row r="35" spans="2:31" x14ac:dyDescent="0.2">
      <c r="B35" s="87">
        <v>6</v>
      </c>
      <c r="C35" s="90">
        <v>0</v>
      </c>
      <c r="D35" s="103">
        <v>10.127491600000001</v>
      </c>
      <c r="E35" s="91">
        <v>14.815034499999999</v>
      </c>
      <c r="F35" s="91">
        <v>6.8982127000000002</v>
      </c>
      <c r="G35" s="91">
        <v>1.6733886899999999</v>
      </c>
      <c r="H35" s="91">
        <v>9.1883212200000006</v>
      </c>
      <c r="I35" s="93">
        <v>0</v>
      </c>
      <c r="J35" s="91">
        <v>5.3654196199999999</v>
      </c>
      <c r="K35" s="91">
        <v>3.0777406599999999</v>
      </c>
      <c r="T35" s="80" t="s">
        <v>130</v>
      </c>
    </row>
    <row r="36" spans="2:31" x14ac:dyDescent="0.2">
      <c r="B36" s="87">
        <v>7</v>
      </c>
      <c r="C36" s="90">
        <v>0</v>
      </c>
      <c r="D36" s="103">
        <v>0.44766405999999997</v>
      </c>
      <c r="E36" s="91">
        <v>0.24036043000000001</v>
      </c>
      <c r="F36" s="91">
        <v>0.77966323000000004</v>
      </c>
      <c r="G36" s="91">
        <v>8.0734002900000004</v>
      </c>
      <c r="H36" s="91">
        <v>14.660415199999999</v>
      </c>
      <c r="I36" s="91">
        <v>5.3654196199999999</v>
      </c>
      <c r="J36" s="93">
        <v>0</v>
      </c>
      <c r="K36" s="91">
        <v>2.6333919400000001</v>
      </c>
      <c r="T36" s="80" t="s">
        <v>131</v>
      </c>
    </row>
    <row r="37" spans="2:31" x14ac:dyDescent="0.2">
      <c r="B37" s="87">
        <v>8</v>
      </c>
      <c r="C37" s="90">
        <v>0</v>
      </c>
      <c r="D37" s="103">
        <v>20.631582900000002</v>
      </c>
      <c r="E37" s="91">
        <v>13.572582000000001</v>
      </c>
      <c r="F37" s="91">
        <v>20.432979899999999</v>
      </c>
      <c r="G37" s="91">
        <v>1.5943061999999999</v>
      </c>
      <c r="H37" s="91">
        <v>6.7620529999999998E-2</v>
      </c>
      <c r="I37" s="91">
        <v>3.0777406599999999</v>
      </c>
      <c r="J37" s="91">
        <v>2.6333919400000001</v>
      </c>
      <c r="K37" s="93">
        <v>0</v>
      </c>
    </row>
    <row r="39" spans="2:31" x14ac:dyDescent="0.2">
      <c r="B39" s="7" t="s">
        <v>143</v>
      </c>
      <c r="C39" s="85"/>
      <c r="D39" s="86"/>
      <c r="E39" s="86"/>
      <c r="F39" s="86"/>
      <c r="G39" s="86"/>
      <c r="H39" s="86"/>
      <c r="I39" s="86"/>
      <c r="J39" s="86"/>
      <c r="K39" s="86"/>
    </row>
    <row r="40" spans="2:31" x14ac:dyDescent="0.2">
      <c r="B40" s="87"/>
      <c r="C40" s="87">
        <v>0</v>
      </c>
      <c r="D40" s="87">
        <v>1</v>
      </c>
      <c r="E40" s="87">
        <v>2</v>
      </c>
      <c r="F40" s="87">
        <v>3</v>
      </c>
      <c r="G40" s="87">
        <v>4</v>
      </c>
      <c r="H40" s="87">
        <v>5</v>
      </c>
      <c r="I40" s="87">
        <v>6</v>
      </c>
      <c r="J40" s="87">
        <v>7</v>
      </c>
      <c r="K40" s="87">
        <v>8</v>
      </c>
      <c r="N40" s="7" t="s">
        <v>137</v>
      </c>
      <c r="Q40" s="7" t="s">
        <v>120</v>
      </c>
      <c r="T40" s="7" t="s">
        <v>134</v>
      </c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</row>
    <row r="41" spans="2:31" x14ac:dyDescent="0.2">
      <c r="B41" s="87">
        <v>0</v>
      </c>
      <c r="C41" s="88">
        <v>0</v>
      </c>
      <c r="D41" s="110"/>
      <c r="E41" s="89">
        <v>0</v>
      </c>
      <c r="F41" s="106">
        <v>0</v>
      </c>
      <c r="G41" s="89">
        <v>0</v>
      </c>
      <c r="H41" s="89">
        <v>0</v>
      </c>
      <c r="I41" s="89">
        <v>0</v>
      </c>
      <c r="J41" s="89">
        <v>0</v>
      </c>
      <c r="K41" s="89">
        <v>0</v>
      </c>
      <c r="N41" s="95" t="s">
        <v>118</v>
      </c>
      <c r="O41" s="80" t="s">
        <v>138</v>
      </c>
      <c r="Q41" s="80" t="s">
        <v>121</v>
      </c>
      <c r="R41" s="75">
        <f>P6</f>
        <v>60</v>
      </c>
      <c r="T41" s="80" t="s">
        <v>125</v>
      </c>
      <c r="V41" s="105"/>
      <c r="W41" s="112"/>
      <c r="X41" s="105"/>
      <c r="Y41" s="105"/>
      <c r="Z41" s="105"/>
      <c r="AA41" s="105"/>
      <c r="AB41" s="105"/>
      <c r="AC41" s="105"/>
      <c r="AD41" s="105"/>
      <c r="AE41" s="105"/>
    </row>
    <row r="42" spans="2:31" x14ac:dyDescent="0.2">
      <c r="B42" s="87">
        <v>1</v>
      </c>
      <c r="C42" s="102">
        <v>0</v>
      </c>
      <c r="D42" s="104"/>
      <c r="E42" s="103"/>
      <c r="F42" s="103">
        <v>30.520159899999999</v>
      </c>
      <c r="G42" s="103">
        <v>0.37697354</v>
      </c>
      <c r="H42" s="103">
        <v>0.62309119000000002</v>
      </c>
      <c r="I42" s="103">
        <v>10.127491600000001</v>
      </c>
      <c r="J42" s="103">
        <v>0.44766405999999997</v>
      </c>
      <c r="K42" s="103">
        <v>20.631582900000002</v>
      </c>
      <c r="N42" s="96" t="s">
        <v>114</v>
      </c>
      <c r="O42" s="97"/>
      <c r="Q42" s="75" t="s">
        <v>123</v>
      </c>
      <c r="R42" s="75">
        <f>R41-P6</f>
        <v>0</v>
      </c>
      <c r="T42" s="95" t="s">
        <v>138</v>
      </c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</row>
    <row r="43" spans="2:31" x14ac:dyDescent="0.2">
      <c r="B43" s="87">
        <v>2</v>
      </c>
      <c r="C43" s="107">
        <v>0</v>
      </c>
      <c r="D43" s="108"/>
      <c r="E43" s="109"/>
      <c r="F43" s="103"/>
      <c r="G43" s="108"/>
      <c r="H43" s="108"/>
      <c r="I43" s="108"/>
      <c r="J43" s="108"/>
      <c r="K43" s="108"/>
      <c r="N43" s="95" t="s">
        <v>115</v>
      </c>
      <c r="O43" s="99" t="s">
        <v>135</v>
      </c>
      <c r="Q43" s="75" t="s">
        <v>124</v>
      </c>
      <c r="R43" s="75">
        <f>R42+P5+P7</f>
        <v>100</v>
      </c>
      <c r="T43" s="80" t="s">
        <v>127</v>
      </c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</row>
    <row r="44" spans="2:31" x14ac:dyDescent="0.2">
      <c r="B44" s="87">
        <v>3</v>
      </c>
      <c r="C44" s="90">
        <v>0</v>
      </c>
      <c r="D44" s="108"/>
      <c r="E44" s="91">
        <v>22.642778100000001</v>
      </c>
      <c r="F44" s="104">
        <v>0</v>
      </c>
      <c r="G44" s="91">
        <v>0.59485516999999999</v>
      </c>
      <c r="H44" s="91">
        <v>0.21483097000000001</v>
      </c>
      <c r="I44" s="91">
        <v>6.8982127000000002</v>
      </c>
      <c r="J44" s="91">
        <v>0.77966323000000004</v>
      </c>
      <c r="K44" s="91">
        <v>20.432979899999999</v>
      </c>
      <c r="N44" s="95" t="s">
        <v>116</v>
      </c>
      <c r="O44" s="99" t="s">
        <v>135</v>
      </c>
      <c r="T44" s="80" t="s">
        <v>128</v>
      </c>
    </row>
    <row r="45" spans="2:31" x14ac:dyDescent="0.2">
      <c r="B45" s="87">
        <v>4</v>
      </c>
      <c r="C45" s="90">
        <v>0</v>
      </c>
      <c r="D45" s="108"/>
      <c r="E45" s="91">
        <v>4.9655100000000002E-3</v>
      </c>
      <c r="F45" s="103">
        <v>0.59485516999999999</v>
      </c>
      <c r="G45" s="93">
        <v>0</v>
      </c>
      <c r="H45" s="91">
        <v>5.9502587699999996</v>
      </c>
      <c r="I45" s="91">
        <v>1.6733886899999999</v>
      </c>
      <c r="J45" s="91">
        <v>8.0734002900000004</v>
      </c>
      <c r="K45" s="91">
        <v>1.5943061999999999</v>
      </c>
      <c r="N45" s="95" t="s">
        <v>120</v>
      </c>
      <c r="O45" s="99" t="b">
        <f>IF(R41&lt;=$Q$16,IF(R42&lt;=$Q$16,(IF(R43&lt;=$Q$16,TRUE,FALSE)),FALSE),FALSE)</f>
        <v>1</v>
      </c>
      <c r="Q45" s="7" t="s">
        <v>136</v>
      </c>
      <c r="T45" s="80" t="s">
        <v>129</v>
      </c>
    </row>
    <row r="46" spans="2:31" x14ac:dyDescent="0.2">
      <c r="B46" s="87">
        <v>5</v>
      </c>
      <c r="C46" s="90">
        <v>0</v>
      </c>
      <c r="D46" s="108"/>
      <c r="E46" s="91">
        <v>2.67068423</v>
      </c>
      <c r="F46" s="103">
        <v>0.21483097000000001</v>
      </c>
      <c r="G46" s="91">
        <v>5.9502587699999996</v>
      </c>
      <c r="H46" s="93">
        <v>0</v>
      </c>
      <c r="I46" s="91">
        <v>9.1883212200000006</v>
      </c>
      <c r="J46" s="91">
        <v>14.660415199999999</v>
      </c>
      <c r="K46" s="91">
        <v>6.7620529999999998E-2</v>
      </c>
      <c r="N46" s="98" t="s">
        <v>117</v>
      </c>
      <c r="O46" s="99" t="b">
        <f>IF(Q46-R46&lt;=0,TRUE,FALSE)</f>
        <v>1</v>
      </c>
      <c r="Q46" s="80">
        <v>1</v>
      </c>
      <c r="R46" s="80">
        <v>1</v>
      </c>
      <c r="T46" s="80" t="s">
        <v>130</v>
      </c>
    </row>
    <row r="47" spans="2:31" x14ac:dyDescent="0.2">
      <c r="B47" s="87">
        <v>6</v>
      </c>
      <c r="C47" s="90">
        <v>0</v>
      </c>
      <c r="D47" s="108"/>
      <c r="E47" s="91">
        <v>14.815034499999999</v>
      </c>
      <c r="F47" s="103">
        <v>6.8982127000000002</v>
      </c>
      <c r="G47" s="91">
        <v>1.6733886899999999</v>
      </c>
      <c r="H47" s="91">
        <v>9.1883212200000006</v>
      </c>
      <c r="I47" s="93">
        <v>0</v>
      </c>
      <c r="J47" s="91">
        <v>5.3654196199999999</v>
      </c>
      <c r="K47" s="91">
        <v>3.0777406599999999</v>
      </c>
      <c r="T47" s="80" t="s">
        <v>131</v>
      </c>
    </row>
    <row r="48" spans="2:31" x14ac:dyDescent="0.2">
      <c r="B48" s="87">
        <v>7</v>
      </c>
      <c r="C48" s="90">
        <v>0</v>
      </c>
      <c r="D48" s="108"/>
      <c r="E48" s="91">
        <v>0.24036043000000001</v>
      </c>
      <c r="F48" s="103">
        <v>0.77966323000000004</v>
      </c>
      <c r="G48" s="91">
        <v>8.0734002900000004</v>
      </c>
      <c r="H48" s="91">
        <v>14.660415199999999</v>
      </c>
      <c r="I48" s="91">
        <v>5.3654196199999999</v>
      </c>
      <c r="J48" s="93">
        <v>0</v>
      </c>
      <c r="K48" s="91">
        <v>2.6333919400000001</v>
      </c>
    </row>
    <row r="49" spans="2:20" x14ac:dyDescent="0.2">
      <c r="B49" s="87">
        <v>8</v>
      </c>
      <c r="C49" s="90">
        <v>0</v>
      </c>
      <c r="D49" s="108"/>
      <c r="E49" s="91">
        <v>13.572582000000001</v>
      </c>
      <c r="F49" s="103">
        <v>20.432979899999999</v>
      </c>
      <c r="G49" s="91">
        <v>1.5943061999999999</v>
      </c>
      <c r="H49" s="91">
        <v>6.7620529999999998E-2</v>
      </c>
      <c r="I49" s="91">
        <v>3.0777406599999999</v>
      </c>
      <c r="J49" s="91">
        <v>2.6333919400000001</v>
      </c>
      <c r="K49" s="93">
        <v>0</v>
      </c>
    </row>
    <row r="52" spans="2:20" x14ac:dyDescent="0.2">
      <c r="B52" s="85" t="s">
        <v>145</v>
      </c>
      <c r="C52" s="85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</row>
    <row r="53" spans="2:20" x14ac:dyDescent="0.2">
      <c r="B53" s="87"/>
      <c r="C53" s="87">
        <v>0</v>
      </c>
      <c r="D53" s="87">
        <v>1</v>
      </c>
      <c r="E53" s="87">
        <v>2</v>
      </c>
      <c r="F53" s="87">
        <v>3</v>
      </c>
      <c r="G53" s="87">
        <v>4</v>
      </c>
      <c r="H53" s="87">
        <v>5</v>
      </c>
      <c r="I53" s="87">
        <v>6</v>
      </c>
      <c r="J53" s="87">
        <v>7</v>
      </c>
      <c r="K53" s="87">
        <v>8</v>
      </c>
      <c r="L53" s="86"/>
      <c r="M53" s="86"/>
      <c r="N53" s="85" t="s">
        <v>137</v>
      </c>
      <c r="O53" s="86"/>
      <c r="P53" s="86"/>
      <c r="Q53" s="85" t="s">
        <v>120</v>
      </c>
      <c r="R53" s="86"/>
      <c r="S53" s="86"/>
      <c r="T53" s="85" t="s">
        <v>134</v>
      </c>
    </row>
    <row r="54" spans="2:20" x14ac:dyDescent="0.2">
      <c r="B54" s="87">
        <v>0</v>
      </c>
      <c r="C54" s="88">
        <v>0</v>
      </c>
      <c r="D54" s="113"/>
      <c r="E54" s="106">
        <v>0</v>
      </c>
      <c r="F54" s="113"/>
      <c r="G54" s="89">
        <v>0</v>
      </c>
      <c r="H54" s="89">
        <v>0</v>
      </c>
      <c r="I54" s="89">
        <v>0</v>
      </c>
      <c r="J54" s="89">
        <v>0</v>
      </c>
      <c r="K54" s="89">
        <v>0</v>
      </c>
      <c r="L54" s="86"/>
      <c r="M54" s="86"/>
      <c r="N54" s="114" t="s">
        <v>118</v>
      </c>
      <c r="O54" s="115" t="s">
        <v>138</v>
      </c>
      <c r="P54" s="86"/>
      <c r="Q54" s="116" t="s">
        <v>121</v>
      </c>
      <c r="R54" s="117">
        <v>60</v>
      </c>
      <c r="S54" s="86"/>
      <c r="T54" s="116" t="s">
        <v>125</v>
      </c>
    </row>
    <row r="55" spans="2:20" x14ac:dyDescent="0.2">
      <c r="B55" s="87">
        <v>1</v>
      </c>
      <c r="C55" s="121">
        <v>0</v>
      </c>
      <c r="D55" s="109"/>
      <c r="E55" s="104"/>
      <c r="F55" s="127"/>
      <c r="G55" s="109"/>
      <c r="H55" s="109"/>
      <c r="I55" s="109"/>
      <c r="J55" s="109"/>
      <c r="K55" s="109"/>
      <c r="L55" s="86"/>
      <c r="M55" s="86"/>
      <c r="N55" s="124" t="s">
        <v>114</v>
      </c>
      <c r="O55" s="125"/>
      <c r="P55" s="86"/>
      <c r="Q55" s="118" t="s">
        <v>123</v>
      </c>
      <c r="R55" s="119">
        <v>0</v>
      </c>
      <c r="S55" s="86"/>
      <c r="T55" s="120" t="s">
        <v>138</v>
      </c>
    </row>
    <row r="56" spans="2:20" x14ac:dyDescent="0.2">
      <c r="B56" s="87">
        <v>2</v>
      </c>
      <c r="C56" s="121">
        <v>0</v>
      </c>
      <c r="D56" s="109"/>
      <c r="E56" s="104"/>
      <c r="F56" s="109"/>
      <c r="G56" s="109"/>
      <c r="H56" s="109"/>
      <c r="I56" s="109"/>
      <c r="J56" s="109"/>
      <c r="K56" s="109"/>
      <c r="L56" s="86"/>
      <c r="M56" s="86"/>
      <c r="N56" s="120" t="s">
        <v>115</v>
      </c>
      <c r="O56" s="128" t="s">
        <v>144</v>
      </c>
      <c r="P56" s="86"/>
      <c r="Q56" s="118" t="s">
        <v>124</v>
      </c>
      <c r="R56" s="119">
        <v>100</v>
      </c>
      <c r="S56" s="86"/>
      <c r="T56" s="123" t="s">
        <v>127</v>
      </c>
    </row>
    <row r="57" spans="2:20" x14ac:dyDescent="0.2">
      <c r="B57" s="87">
        <v>3</v>
      </c>
      <c r="C57" s="102">
        <v>0</v>
      </c>
      <c r="D57" s="104"/>
      <c r="E57" s="103">
        <v>22.642778100000001</v>
      </c>
      <c r="F57" s="104"/>
      <c r="G57" s="103">
        <v>0.59485516999999999</v>
      </c>
      <c r="H57" s="103">
        <v>0.21483097000000001</v>
      </c>
      <c r="I57" s="103">
        <v>6.8982127000000002</v>
      </c>
      <c r="J57" s="103">
        <v>0.77966323000000004</v>
      </c>
      <c r="K57" s="103">
        <v>20.432979899999999</v>
      </c>
      <c r="L57" s="86"/>
      <c r="M57" s="86"/>
      <c r="N57" s="120" t="s">
        <v>116</v>
      </c>
      <c r="O57" s="122" t="s">
        <v>135</v>
      </c>
      <c r="P57" s="86"/>
      <c r="Q57" s="86"/>
      <c r="R57" s="86"/>
      <c r="S57" s="86"/>
      <c r="T57" s="123" t="s">
        <v>128</v>
      </c>
    </row>
    <row r="58" spans="2:20" x14ac:dyDescent="0.2">
      <c r="B58" s="87">
        <v>4</v>
      </c>
      <c r="C58" s="90">
        <v>0</v>
      </c>
      <c r="D58" s="109"/>
      <c r="E58" s="103">
        <v>4.9655100000000002E-3</v>
      </c>
      <c r="F58" s="109"/>
      <c r="G58" s="93">
        <v>0</v>
      </c>
      <c r="H58" s="91">
        <v>5.9502587699999996</v>
      </c>
      <c r="I58" s="91">
        <v>1.6733886899999999</v>
      </c>
      <c r="J58" s="91">
        <v>8.0734002900000004</v>
      </c>
      <c r="K58" s="91">
        <v>1.5943061999999999</v>
      </c>
      <c r="L58" s="86"/>
      <c r="M58" s="86"/>
      <c r="N58" s="120" t="s">
        <v>120</v>
      </c>
      <c r="O58" s="122" t="b">
        <v>1</v>
      </c>
      <c r="P58" s="86"/>
      <c r="Q58" s="85" t="s">
        <v>136</v>
      </c>
      <c r="R58" s="86"/>
      <c r="S58" s="86"/>
      <c r="T58" s="123" t="s">
        <v>129</v>
      </c>
    </row>
    <row r="59" spans="2:20" x14ac:dyDescent="0.2">
      <c r="B59" s="87">
        <v>5</v>
      </c>
      <c r="C59" s="90">
        <v>0</v>
      </c>
      <c r="D59" s="109"/>
      <c r="E59" s="103">
        <v>2.67068423</v>
      </c>
      <c r="F59" s="109"/>
      <c r="G59" s="91">
        <v>5.9502587699999996</v>
      </c>
      <c r="H59" s="93">
        <v>0</v>
      </c>
      <c r="I59" s="91">
        <v>9.1883212200000006</v>
      </c>
      <c r="J59" s="91">
        <v>14.660415199999999</v>
      </c>
      <c r="K59" s="91">
        <v>6.7620529999999998E-2</v>
      </c>
      <c r="L59" s="86"/>
      <c r="M59" s="86"/>
      <c r="N59" s="120" t="s">
        <v>117</v>
      </c>
      <c r="O59" s="130" t="b">
        <f>IF(Q59-R59&lt;=0,TRUE,FALSE)</f>
        <v>0</v>
      </c>
      <c r="P59" s="86"/>
      <c r="Q59" s="116">
        <v>1</v>
      </c>
      <c r="R59" s="115">
        <v>0</v>
      </c>
      <c r="S59" s="86"/>
      <c r="T59" s="123" t="s">
        <v>130</v>
      </c>
    </row>
    <row r="60" spans="2:20" x14ac:dyDescent="0.2">
      <c r="B60" s="87">
        <v>6</v>
      </c>
      <c r="C60" s="90">
        <v>0</v>
      </c>
      <c r="D60" s="109"/>
      <c r="E60" s="103">
        <v>14.815034499999999</v>
      </c>
      <c r="F60" s="109"/>
      <c r="G60" s="91">
        <v>1.6733886899999999</v>
      </c>
      <c r="H60" s="91">
        <v>9.1883212200000006</v>
      </c>
      <c r="I60" s="93">
        <v>0</v>
      </c>
      <c r="J60" s="91">
        <v>5.3654196199999999</v>
      </c>
      <c r="K60" s="91">
        <v>3.0777406599999999</v>
      </c>
      <c r="L60" s="86"/>
      <c r="M60" s="86"/>
      <c r="N60" s="86"/>
      <c r="O60" s="86"/>
      <c r="P60" s="86"/>
      <c r="Q60" s="86"/>
      <c r="R60" s="86"/>
      <c r="S60" s="86"/>
      <c r="T60" s="123" t="s">
        <v>131</v>
      </c>
    </row>
    <row r="61" spans="2:20" x14ac:dyDescent="0.2">
      <c r="B61" s="87">
        <v>7</v>
      </c>
      <c r="C61" s="90">
        <v>0</v>
      </c>
      <c r="D61" s="109"/>
      <c r="E61" s="103">
        <v>0.24036043000000001</v>
      </c>
      <c r="F61" s="109"/>
      <c r="G61" s="91">
        <v>8.0734002900000004</v>
      </c>
      <c r="H61" s="91">
        <v>14.660415199999999</v>
      </c>
      <c r="I61" s="91">
        <v>5.3654196199999999</v>
      </c>
      <c r="J61" s="93">
        <v>0</v>
      </c>
      <c r="K61" s="91">
        <v>2.6333919400000001</v>
      </c>
      <c r="L61" s="86"/>
      <c r="M61" s="86"/>
      <c r="N61" s="86"/>
      <c r="O61" s="86"/>
      <c r="P61" s="86"/>
      <c r="Q61" s="86"/>
      <c r="R61" s="86"/>
      <c r="S61" s="86"/>
      <c r="T61" s="86"/>
    </row>
    <row r="62" spans="2:20" x14ac:dyDescent="0.2">
      <c r="B62" s="87">
        <v>8</v>
      </c>
      <c r="C62" s="90">
        <v>0</v>
      </c>
      <c r="D62" s="109"/>
      <c r="E62" s="103">
        <v>13.572582000000001</v>
      </c>
      <c r="F62" s="109"/>
      <c r="G62" s="91">
        <v>1.5943061999999999</v>
      </c>
      <c r="H62" s="91">
        <v>6.7620529999999998E-2</v>
      </c>
      <c r="I62" s="91">
        <v>3.0777406599999999</v>
      </c>
      <c r="J62" s="91">
        <v>2.6333919400000001</v>
      </c>
      <c r="K62" s="93">
        <v>0</v>
      </c>
      <c r="L62" s="86"/>
      <c r="M62" s="86"/>
      <c r="N62" s="86"/>
      <c r="O62" s="86"/>
      <c r="P62" s="86"/>
      <c r="Q62" s="86"/>
      <c r="R62" s="86"/>
      <c r="S62" s="86"/>
      <c r="T62" s="86"/>
    </row>
    <row r="64" spans="2:20" x14ac:dyDescent="0.2">
      <c r="B64" s="85" t="s">
        <v>146</v>
      </c>
      <c r="C64" s="85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  <c r="S64" s="86"/>
      <c r="T64" s="86"/>
    </row>
    <row r="65" spans="2:20" x14ac:dyDescent="0.2">
      <c r="B65" s="87"/>
      <c r="C65" s="87">
        <v>0</v>
      </c>
      <c r="D65" s="87">
        <v>1</v>
      </c>
      <c r="E65" s="87">
        <v>2</v>
      </c>
      <c r="F65" s="87">
        <v>3</v>
      </c>
      <c r="G65" s="87">
        <v>4</v>
      </c>
      <c r="H65" s="87">
        <v>5</v>
      </c>
      <c r="I65" s="87">
        <v>6</v>
      </c>
      <c r="J65" s="87">
        <v>7</v>
      </c>
      <c r="K65" s="87">
        <v>8</v>
      </c>
      <c r="L65" s="86"/>
      <c r="M65" s="86"/>
      <c r="N65" s="85" t="s">
        <v>137</v>
      </c>
      <c r="O65" s="86"/>
      <c r="P65" s="86"/>
      <c r="Q65" s="85" t="s">
        <v>120</v>
      </c>
      <c r="R65" s="86"/>
      <c r="S65" s="86"/>
      <c r="T65" s="85" t="s">
        <v>134</v>
      </c>
    </row>
    <row r="66" spans="2:20" x14ac:dyDescent="0.2">
      <c r="B66" s="87">
        <v>0</v>
      </c>
      <c r="C66" s="88">
        <v>0</v>
      </c>
      <c r="D66" s="113"/>
      <c r="E66" s="129">
        <v>0</v>
      </c>
      <c r="F66" s="113">
        <v>0</v>
      </c>
      <c r="G66" s="89">
        <v>0</v>
      </c>
      <c r="H66" s="89">
        <v>0</v>
      </c>
      <c r="I66" s="89">
        <v>0</v>
      </c>
      <c r="J66" s="89">
        <v>0</v>
      </c>
      <c r="K66" s="89">
        <v>0</v>
      </c>
      <c r="L66" s="86"/>
      <c r="M66" s="86"/>
      <c r="N66" s="114" t="s">
        <v>118</v>
      </c>
      <c r="O66" s="115" t="s">
        <v>147</v>
      </c>
      <c r="P66" s="86"/>
      <c r="Q66" s="116" t="s">
        <v>121</v>
      </c>
      <c r="R66" s="117">
        <v>60</v>
      </c>
      <c r="S66" s="86"/>
      <c r="T66" s="116" t="s">
        <v>125</v>
      </c>
    </row>
    <row r="67" spans="2:20" x14ac:dyDescent="0.2">
      <c r="B67" s="87">
        <v>1</v>
      </c>
      <c r="C67" s="121">
        <v>0</v>
      </c>
      <c r="D67" s="109"/>
      <c r="E67" s="109"/>
      <c r="F67" s="127"/>
      <c r="G67" s="109"/>
      <c r="H67" s="109"/>
      <c r="I67" s="109"/>
      <c r="J67" s="109"/>
      <c r="K67" s="109"/>
      <c r="L67" s="86"/>
      <c r="M67" s="86"/>
      <c r="N67" s="124" t="s">
        <v>114</v>
      </c>
      <c r="O67" s="125"/>
      <c r="P67" s="86"/>
      <c r="Q67" s="118" t="s">
        <v>123</v>
      </c>
      <c r="R67" s="119">
        <v>0</v>
      </c>
      <c r="S67" s="86"/>
      <c r="T67" s="120" t="s">
        <v>138</v>
      </c>
    </row>
    <row r="68" spans="2:20" x14ac:dyDescent="0.2">
      <c r="B68" s="87">
        <v>2</v>
      </c>
      <c r="C68" s="121">
        <v>0</v>
      </c>
      <c r="D68" s="109"/>
      <c r="E68" s="109"/>
      <c r="F68" s="109"/>
      <c r="G68" s="109"/>
      <c r="H68" s="109"/>
      <c r="I68" s="109"/>
      <c r="J68" s="109"/>
      <c r="K68" s="109"/>
      <c r="L68" s="86"/>
      <c r="M68" s="86"/>
      <c r="N68" s="120" t="s">
        <v>115</v>
      </c>
      <c r="O68" s="133" t="s">
        <v>135</v>
      </c>
      <c r="P68" s="86"/>
      <c r="Q68" s="118" t="s">
        <v>124</v>
      </c>
      <c r="R68" s="119">
        <v>100</v>
      </c>
      <c r="S68" s="86"/>
      <c r="T68" s="123" t="s">
        <v>127</v>
      </c>
    </row>
    <row r="69" spans="2:20" x14ac:dyDescent="0.2">
      <c r="B69" s="87">
        <v>3</v>
      </c>
      <c r="C69" s="132">
        <v>0</v>
      </c>
      <c r="D69" s="109"/>
      <c r="E69" s="103"/>
      <c r="F69" s="109"/>
      <c r="G69" s="131">
        <v>0.59485516999999999</v>
      </c>
      <c r="H69" s="131">
        <v>0.21483097000000001</v>
      </c>
      <c r="I69" s="131">
        <v>6.8982127000000002</v>
      </c>
      <c r="J69" s="131">
        <v>0.77966323000000004</v>
      </c>
      <c r="K69" s="131">
        <v>20.432979899999999</v>
      </c>
      <c r="L69" s="86"/>
      <c r="M69" s="86"/>
      <c r="N69" s="120" t="s">
        <v>116</v>
      </c>
      <c r="O69" s="122" t="s">
        <v>135</v>
      </c>
      <c r="P69" s="86"/>
      <c r="Q69" s="86"/>
      <c r="R69" s="86"/>
      <c r="S69" s="86"/>
      <c r="T69" s="123" t="s">
        <v>128</v>
      </c>
    </row>
    <row r="70" spans="2:20" x14ac:dyDescent="0.2">
      <c r="B70" s="87">
        <v>4</v>
      </c>
      <c r="C70" s="90">
        <v>0</v>
      </c>
      <c r="D70" s="109"/>
      <c r="E70" s="131">
        <v>4.9655100000000002E-3</v>
      </c>
      <c r="F70" s="109"/>
      <c r="G70" s="93">
        <v>0</v>
      </c>
      <c r="H70" s="91">
        <v>5.9502587699999996</v>
      </c>
      <c r="I70" s="91">
        <v>1.6733886899999999</v>
      </c>
      <c r="J70" s="91">
        <v>8.0734002900000004</v>
      </c>
      <c r="K70" s="91">
        <v>1.5943061999999999</v>
      </c>
      <c r="L70" s="86"/>
      <c r="M70" s="86"/>
      <c r="N70" s="120" t="s">
        <v>120</v>
      </c>
      <c r="O70" s="122" t="b">
        <v>1</v>
      </c>
      <c r="P70" s="86"/>
      <c r="Q70" s="85" t="s">
        <v>136</v>
      </c>
      <c r="R70" s="86"/>
      <c r="S70" s="86"/>
      <c r="T70" s="123" t="s">
        <v>129</v>
      </c>
    </row>
    <row r="71" spans="2:20" x14ac:dyDescent="0.2">
      <c r="B71" s="87">
        <v>5</v>
      </c>
      <c r="C71" s="90">
        <v>0</v>
      </c>
      <c r="D71" s="109"/>
      <c r="E71" s="131">
        <v>2.67068423</v>
      </c>
      <c r="F71" s="109"/>
      <c r="G71" s="91">
        <v>5.9502587699999996</v>
      </c>
      <c r="H71" s="93">
        <v>0</v>
      </c>
      <c r="I71" s="91">
        <v>9.1883212200000006</v>
      </c>
      <c r="J71" s="91">
        <v>14.660415199999999</v>
      </c>
      <c r="K71" s="91">
        <v>6.7620529999999998E-2</v>
      </c>
      <c r="L71" s="86"/>
      <c r="M71" s="86"/>
      <c r="N71" s="120" t="s">
        <v>117</v>
      </c>
      <c r="O71" s="130" t="b">
        <f>IF(Q71-R71&lt;=0,TRUE,FALSE)</f>
        <v>0</v>
      </c>
      <c r="P71" s="86"/>
      <c r="Q71" s="116">
        <v>1</v>
      </c>
      <c r="R71" s="115">
        <v>0</v>
      </c>
      <c r="S71" s="86"/>
      <c r="T71" s="123" t="s">
        <v>130</v>
      </c>
    </row>
    <row r="72" spans="2:20" x14ac:dyDescent="0.2">
      <c r="B72" s="87">
        <v>6</v>
      </c>
      <c r="C72" s="90">
        <v>0</v>
      </c>
      <c r="D72" s="109"/>
      <c r="E72" s="131">
        <v>14.815034499999999</v>
      </c>
      <c r="F72" s="109"/>
      <c r="G72" s="91">
        <v>1.6733886899999999</v>
      </c>
      <c r="H72" s="91">
        <v>9.1883212200000006</v>
      </c>
      <c r="I72" s="93">
        <v>0</v>
      </c>
      <c r="J72" s="91">
        <v>5.3654196199999999</v>
      </c>
      <c r="K72" s="91">
        <v>3.0777406599999999</v>
      </c>
      <c r="L72" s="86"/>
      <c r="M72" s="86"/>
      <c r="N72" s="86"/>
      <c r="O72" s="86"/>
      <c r="P72" s="86"/>
      <c r="Q72" s="86"/>
      <c r="R72" s="86"/>
      <c r="S72" s="86"/>
      <c r="T72" s="123" t="s">
        <v>131</v>
      </c>
    </row>
    <row r="73" spans="2:20" x14ac:dyDescent="0.2">
      <c r="B73" s="87">
        <v>7</v>
      </c>
      <c r="C73" s="90">
        <v>0</v>
      </c>
      <c r="D73" s="109"/>
      <c r="E73" s="131">
        <v>0.24036043000000001</v>
      </c>
      <c r="F73" s="109"/>
      <c r="G73" s="91">
        <v>8.0734002900000004</v>
      </c>
      <c r="H73" s="91">
        <v>14.660415199999999</v>
      </c>
      <c r="I73" s="91">
        <v>5.3654196199999999</v>
      </c>
      <c r="J73" s="93">
        <v>0</v>
      </c>
      <c r="K73" s="91">
        <v>2.6333919400000001</v>
      </c>
      <c r="L73" s="86"/>
      <c r="M73" s="86"/>
      <c r="N73" s="86"/>
      <c r="O73" s="86"/>
      <c r="P73" s="86"/>
      <c r="Q73" s="86"/>
      <c r="R73" s="86"/>
      <c r="S73" s="86"/>
      <c r="T73" s="86"/>
    </row>
    <row r="74" spans="2:20" x14ac:dyDescent="0.2">
      <c r="B74" s="87">
        <v>8</v>
      </c>
      <c r="C74" s="90">
        <v>0</v>
      </c>
      <c r="D74" s="109"/>
      <c r="E74" s="131">
        <v>13.572582000000001</v>
      </c>
      <c r="F74" s="109"/>
      <c r="G74" s="91">
        <v>1.5943061999999999</v>
      </c>
      <c r="H74" s="91">
        <v>6.7620529999999998E-2</v>
      </c>
      <c r="I74" s="91">
        <v>3.0777406599999999</v>
      </c>
      <c r="J74" s="91">
        <v>2.6333919400000001</v>
      </c>
      <c r="K74" s="93">
        <v>0</v>
      </c>
      <c r="L74" s="86"/>
      <c r="M74" s="86"/>
      <c r="N74" s="86"/>
      <c r="O74" s="86"/>
      <c r="P74" s="86"/>
      <c r="Q74" s="86"/>
      <c r="R74" s="86"/>
      <c r="S74" s="86"/>
      <c r="T74" s="86"/>
    </row>
    <row r="76" spans="2:20" x14ac:dyDescent="0.2">
      <c r="B76" s="85" t="s">
        <v>148</v>
      </c>
      <c r="C76" s="85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</row>
    <row r="77" spans="2:20" x14ac:dyDescent="0.2">
      <c r="B77" s="87"/>
      <c r="C77" s="87">
        <v>0</v>
      </c>
      <c r="D77" s="87">
        <v>1</v>
      </c>
      <c r="E77" s="87">
        <v>2</v>
      </c>
      <c r="F77" s="87">
        <v>3</v>
      </c>
      <c r="G77" s="87">
        <v>4</v>
      </c>
      <c r="H77" s="87">
        <v>5</v>
      </c>
      <c r="I77" s="87">
        <v>6</v>
      </c>
      <c r="J77" s="87">
        <v>7</v>
      </c>
      <c r="K77" s="87">
        <v>8</v>
      </c>
      <c r="L77" s="86"/>
      <c r="M77" s="86"/>
      <c r="N77" s="85" t="s">
        <v>137</v>
      </c>
      <c r="O77" s="86"/>
      <c r="P77" s="86"/>
      <c r="Q77" s="85" t="s">
        <v>120</v>
      </c>
      <c r="R77" s="86"/>
      <c r="S77" s="86"/>
      <c r="T77" s="85" t="s">
        <v>134</v>
      </c>
    </row>
    <row r="78" spans="2:20" x14ac:dyDescent="0.2">
      <c r="B78" s="87">
        <v>0</v>
      </c>
      <c r="C78" s="88">
        <v>0</v>
      </c>
      <c r="D78" s="113"/>
      <c r="E78" s="106">
        <v>0</v>
      </c>
      <c r="F78" s="113"/>
      <c r="G78" s="89">
        <v>0</v>
      </c>
      <c r="H78" s="89">
        <v>0</v>
      </c>
      <c r="I78" s="89">
        <v>0</v>
      </c>
      <c r="J78" s="89">
        <v>0</v>
      </c>
      <c r="K78" s="89">
        <v>0</v>
      </c>
      <c r="L78" s="86"/>
      <c r="M78" s="86"/>
      <c r="N78" s="114" t="s">
        <v>118</v>
      </c>
      <c r="O78" s="115" t="s">
        <v>149</v>
      </c>
      <c r="P78" s="86"/>
      <c r="Q78" s="116" t="s">
        <v>121</v>
      </c>
      <c r="R78" s="117">
        <f>60+P10</f>
        <v>105</v>
      </c>
      <c r="S78" s="86"/>
      <c r="T78" s="116" t="s">
        <v>125</v>
      </c>
    </row>
    <row r="79" spans="2:20" x14ac:dyDescent="0.2">
      <c r="B79" s="87">
        <v>1</v>
      </c>
      <c r="C79" s="121">
        <v>0</v>
      </c>
      <c r="D79" s="109"/>
      <c r="E79" s="104"/>
      <c r="F79" s="127"/>
      <c r="G79" s="109"/>
      <c r="H79" s="109"/>
      <c r="I79" s="109"/>
      <c r="J79" s="109"/>
      <c r="K79" s="109"/>
      <c r="L79" s="86"/>
      <c r="M79" s="86"/>
      <c r="N79" s="124" t="s">
        <v>114</v>
      </c>
      <c r="O79" s="125"/>
      <c r="P79" s="86"/>
      <c r="Q79" s="118" t="s">
        <v>123</v>
      </c>
      <c r="R79" s="119">
        <v>0</v>
      </c>
      <c r="S79" s="86"/>
      <c r="T79" s="120" t="s">
        <v>149</v>
      </c>
    </row>
    <row r="80" spans="2:20" x14ac:dyDescent="0.2">
      <c r="B80" s="87">
        <v>2</v>
      </c>
      <c r="C80" s="121">
        <v>0</v>
      </c>
      <c r="D80" s="109"/>
      <c r="E80" s="104"/>
      <c r="F80" s="109"/>
      <c r="G80" s="109"/>
      <c r="H80" s="109"/>
      <c r="I80" s="109"/>
      <c r="J80" s="109"/>
      <c r="K80" s="109"/>
      <c r="L80" s="86"/>
      <c r="M80" s="86"/>
      <c r="N80" s="120" t="s">
        <v>115</v>
      </c>
      <c r="O80" s="133" t="s">
        <v>135</v>
      </c>
      <c r="P80" s="86"/>
      <c r="Q80" s="118" t="s">
        <v>124</v>
      </c>
      <c r="R80" s="119">
        <v>100</v>
      </c>
      <c r="S80" s="86"/>
      <c r="T80" s="123" t="s">
        <v>127</v>
      </c>
    </row>
    <row r="81" spans="2:20" x14ac:dyDescent="0.2">
      <c r="B81" s="87">
        <v>3</v>
      </c>
      <c r="C81" s="132">
        <v>0</v>
      </c>
      <c r="D81" s="109"/>
      <c r="E81" s="103"/>
      <c r="F81" s="109"/>
      <c r="G81" s="131">
        <v>0.59485516999999999</v>
      </c>
      <c r="H81" s="131">
        <v>0.21483097000000001</v>
      </c>
      <c r="I81" s="131">
        <v>6.8982127000000002</v>
      </c>
      <c r="J81" s="131">
        <v>0.77966323000000004</v>
      </c>
      <c r="K81" s="101"/>
      <c r="L81" s="86"/>
      <c r="M81" s="86"/>
      <c r="N81" s="120" t="s">
        <v>116</v>
      </c>
      <c r="O81" s="122" t="s">
        <v>135</v>
      </c>
      <c r="P81" s="86"/>
      <c r="Q81" s="86"/>
      <c r="R81" s="86"/>
      <c r="S81" s="86"/>
      <c r="T81" s="123" t="s">
        <v>128</v>
      </c>
    </row>
    <row r="82" spans="2:20" x14ac:dyDescent="0.2">
      <c r="B82" s="87">
        <v>4</v>
      </c>
      <c r="C82" s="90">
        <v>0</v>
      </c>
      <c r="D82" s="109"/>
      <c r="E82" s="103">
        <v>4.9655100000000002E-3</v>
      </c>
      <c r="F82" s="109"/>
      <c r="G82" s="93">
        <v>0</v>
      </c>
      <c r="H82" s="91">
        <v>5.9502587699999996</v>
      </c>
      <c r="I82" s="91">
        <v>1.6733886899999999</v>
      </c>
      <c r="J82" s="91">
        <v>8.0734002900000004</v>
      </c>
      <c r="K82" s="91">
        <v>1.5943061999999999</v>
      </c>
      <c r="L82" s="86"/>
      <c r="M82" s="86"/>
      <c r="N82" s="120" t="s">
        <v>120</v>
      </c>
      <c r="O82" s="122" t="b">
        <v>1</v>
      </c>
      <c r="P82" s="86"/>
      <c r="Q82" s="85" t="s">
        <v>136</v>
      </c>
      <c r="R82" s="86"/>
      <c r="S82" s="86"/>
      <c r="T82" s="123" t="s">
        <v>130</v>
      </c>
    </row>
    <row r="83" spans="2:20" x14ac:dyDescent="0.2">
      <c r="B83" s="87">
        <v>5</v>
      </c>
      <c r="C83" s="90">
        <v>0</v>
      </c>
      <c r="D83" s="109"/>
      <c r="E83" s="103">
        <v>2.67068423</v>
      </c>
      <c r="F83" s="109"/>
      <c r="G83" s="91">
        <v>5.9502587699999996</v>
      </c>
      <c r="H83" s="93">
        <v>0</v>
      </c>
      <c r="I83" s="91">
        <v>9.1883212200000006</v>
      </c>
      <c r="J83" s="91">
        <v>14.660415199999999</v>
      </c>
      <c r="K83" s="91">
        <v>6.7620529999999998E-2</v>
      </c>
      <c r="L83" s="86"/>
      <c r="M83" s="86"/>
      <c r="N83" s="120" t="s">
        <v>117</v>
      </c>
      <c r="O83" s="99" t="b">
        <f>IF(Q83-R83&lt;=0,TRUE,FALSE)</f>
        <v>1</v>
      </c>
      <c r="P83" s="86"/>
      <c r="Q83" s="116">
        <v>0</v>
      </c>
      <c r="R83" s="115">
        <v>0</v>
      </c>
      <c r="S83" s="86"/>
      <c r="T83" s="123" t="s">
        <v>131</v>
      </c>
    </row>
    <row r="84" spans="2:20" x14ac:dyDescent="0.2">
      <c r="B84" s="87">
        <v>6</v>
      </c>
      <c r="C84" s="102">
        <v>0</v>
      </c>
      <c r="D84" s="104"/>
      <c r="E84" s="103">
        <v>14.815034499999999</v>
      </c>
      <c r="F84" s="104"/>
      <c r="G84" s="103">
        <v>1.6733886899999999</v>
      </c>
      <c r="H84" s="103">
        <v>9.1883212200000006</v>
      </c>
      <c r="I84" s="104">
        <v>0</v>
      </c>
      <c r="J84" s="103">
        <v>5.3654196199999999</v>
      </c>
      <c r="K84" s="103">
        <v>3.0777406599999999</v>
      </c>
      <c r="L84" s="86"/>
      <c r="M84" s="86"/>
      <c r="N84" s="86"/>
      <c r="O84" s="86"/>
      <c r="P84" s="86"/>
      <c r="Q84" s="86"/>
      <c r="R84" s="86"/>
      <c r="S84" s="86"/>
    </row>
    <row r="85" spans="2:20" x14ac:dyDescent="0.2">
      <c r="B85" s="87">
        <v>7</v>
      </c>
      <c r="C85" s="90">
        <v>0</v>
      </c>
      <c r="D85" s="109"/>
      <c r="E85" s="103">
        <v>0.24036043000000001</v>
      </c>
      <c r="F85" s="109"/>
      <c r="G85" s="91">
        <v>8.0734002900000004</v>
      </c>
      <c r="H85" s="91">
        <v>14.660415199999999</v>
      </c>
      <c r="I85" s="91">
        <v>5.3654196199999999</v>
      </c>
      <c r="J85" s="93">
        <v>0</v>
      </c>
      <c r="K85" s="91">
        <v>2.6333919400000001</v>
      </c>
      <c r="L85" s="86"/>
      <c r="M85" s="86"/>
      <c r="N85" s="86"/>
      <c r="O85" s="86"/>
      <c r="P85" s="86"/>
      <c r="Q85" s="86"/>
      <c r="R85" s="86"/>
      <c r="S85" s="86"/>
      <c r="T85" s="86"/>
    </row>
    <row r="86" spans="2:20" x14ac:dyDescent="0.2">
      <c r="B86" s="87">
        <v>8</v>
      </c>
      <c r="C86" s="90">
        <v>0</v>
      </c>
      <c r="D86" s="109"/>
      <c r="E86" s="103">
        <v>13.572582000000001</v>
      </c>
      <c r="F86" s="109"/>
      <c r="G86" s="91">
        <v>1.5943061999999999</v>
      </c>
      <c r="H86" s="91">
        <v>6.7620529999999998E-2</v>
      </c>
      <c r="I86" s="91">
        <v>3.0777406599999999</v>
      </c>
      <c r="J86" s="91">
        <v>2.6333919400000001</v>
      </c>
      <c r="K86" s="93">
        <v>0</v>
      </c>
      <c r="L86" s="86"/>
      <c r="M86" s="86"/>
      <c r="N86" s="86"/>
      <c r="O86" s="86"/>
      <c r="P86" s="86"/>
      <c r="Q86" s="86"/>
      <c r="R86" s="86"/>
      <c r="S86" s="86"/>
      <c r="T86" s="86"/>
    </row>
    <row r="88" spans="2:20" x14ac:dyDescent="0.2">
      <c r="B88" s="85" t="s">
        <v>151</v>
      </c>
      <c r="C88" s="85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  <c r="S88" s="86"/>
      <c r="T88" s="86"/>
    </row>
    <row r="89" spans="2:20" x14ac:dyDescent="0.2">
      <c r="B89" s="87"/>
      <c r="C89" s="87">
        <v>0</v>
      </c>
      <c r="D89" s="87">
        <v>1</v>
      </c>
      <c r="E89" s="87">
        <v>2</v>
      </c>
      <c r="F89" s="87">
        <v>3</v>
      </c>
      <c r="G89" s="87">
        <v>4</v>
      </c>
      <c r="H89" s="87">
        <v>5</v>
      </c>
      <c r="I89" s="87">
        <v>6</v>
      </c>
      <c r="J89" s="87">
        <v>7</v>
      </c>
      <c r="K89" s="87">
        <v>8</v>
      </c>
      <c r="L89" s="86"/>
      <c r="M89" s="86"/>
      <c r="N89" s="85" t="s">
        <v>137</v>
      </c>
      <c r="O89" s="86"/>
      <c r="P89" s="86"/>
      <c r="Q89" s="85" t="s">
        <v>120</v>
      </c>
      <c r="R89" s="86"/>
      <c r="S89" s="86"/>
      <c r="T89" s="85" t="s">
        <v>134</v>
      </c>
    </row>
    <row r="90" spans="2:20" x14ac:dyDescent="0.2">
      <c r="B90" s="87">
        <v>0</v>
      </c>
      <c r="C90" s="88">
        <v>0</v>
      </c>
      <c r="D90" s="113"/>
      <c r="E90" s="110"/>
      <c r="F90" s="113"/>
      <c r="G90" s="89">
        <v>0</v>
      </c>
      <c r="H90" s="89">
        <v>0</v>
      </c>
      <c r="I90" s="89">
        <v>0</v>
      </c>
      <c r="J90" s="106">
        <v>0</v>
      </c>
      <c r="K90" s="89">
        <v>0</v>
      </c>
      <c r="L90" s="86"/>
      <c r="M90" s="86"/>
      <c r="N90" s="114" t="s">
        <v>118</v>
      </c>
      <c r="O90" s="115" t="s">
        <v>150</v>
      </c>
      <c r="P90" s="86"/>
      <c r="Q90" s="116" t="s">
        <v>121</v>
      </c>
      <c r="R90" s="117">
        <v>0</v>
      </c>
      <c r="S90" s="86"/>
      <c r="T90" s="116" t="s">
        <v>125</v>
      </c>
    </row>
    <row r="91" spans="2:20" x14ac:dyDescent="0.2">
      <c r="B91" s="87">
        <v>1</v>
      </c>
      <c r="C91" s="121">
        <v>0</v>
      </c>
      <c r="D91" s="109"/>
      <c r="E91" s="109"/>
      <c r="F91" s="127"/>
      <c r="G91" s="109"/>
      <c r="H91" s="109"/>
      <c r="I91" s="109"/>
      <c r="J91" s="104"/>
      <c r="K91" s="109"/>
      <c r="L91" s="86"/>
      <c r="M91" s="86"/>
      <c r="N91" s="124" t="s">
        <v>114</v>
      </c>
      <c r="O91" s="125"/>
      <c r="P91" s="86"/>
      <c r="Q91" s="118" t="s">
        <v>123</v>
      </c>
      <c r="R91" s="119">
        <v>0</v>
      </c>
      <c r="S91" s="86"/>
      <c r="T91" s="120" t="s">
        <v>149</v>
      </c>
    </row>
    <row r="92" spans="2:20" x14ac:dyDescent="0.2">
      <c r="B92" s="87">
        <v>2</v>
      </c>
      <c r="C92" s="121">
        <v>0</v>
      </c>
      <c r="D92" s="109"/>
      <c r="E92" s="109"/>
      <c r="F92" s="109"/>
      <c r="G92" s="109"/>
      <c r="H92" s="109"/>
      <c r="I92" s="109"/>
      <c r="J92" s="104"/>
      <c r="K92" s="109"/>
      <c r="L92" s="86"/>
      <c r="M92" s="86"/>
      <c r="N92" s="120" t="s">
        <v>115</v>
      </c>
      <c r="O92" s="133" t="s">
        <v>135</v>
      </c>
      <c r="P92" s="86"/>
      <c r="Q92" s="118" t="s">
        <v>124</v>
      </c>
      <c r="R92" s="119">
        <f>P9+P11</f>
        <v>80</v>
      </c>
      <c r="S92" s="86"/>
      <c r="T92" s="123" t="s">
        <v>127</v>
      </c>
    </row>
    <row r="93" spans="2:20" x14ac:dyDescent="0.2">
      <c r="B93" s="87">
        <v>3</v>
      </c>
      <c r="C93" s="132">
        <v>0</v>
      </c>
      <c r="D93" s="109"/>
      <c r="E93" s="108"/>
      <c r="F93" s="109"/>
      <c r="G93" s="131">
        <v>0.59485516999999999</v>
      </c>
      <c r="H93" s="131">
        <v>0.21483097000000001</v>
      </c>
      <c r="I93" s="131">
        <v>6.8982127000000002</v>
      </c>
      <c r="J93" s="103">
        <v>0.77966323000000004</v>
      </c>
      <c r="K93" s="101"/>
      <c r="L93" s="86"/>
      <c r="M93" s="86"/>
      <c r="N93" s="120" t="s">
        <v>116</v>
      </c>
      <c r="O93" s="122" t="s">
        <v>135</v>
      </c>
      <c r="P93" s="86"/>
      <c r="Q93" s="86"/>
      <c r="R93" s="86"/>
      <c r="S93" s="86"/>
      <c r="T93" s="120" t="s">
        <v>150</v>
      </c>
    </row>
    <row r="94" spans="2:20" x14ac:dyDescent="0.2">
      <c r="B94" s="87">
        <v>4</v>
      </c>
      <c r="C94" s="90">
        <v>0</v>
      </c>
      <c r="D94" s="109"/>
      <c r="E94" s="108"/>
      <c r="F94" s="109"/>
      <c r="G94" s="93">
        <v>0</v>
      </c>
      <c r="H94" s="91">
        <v>5.9502587699999996</v>
      </c>
      <c r="I94" s="91">
        <v>1.6733886899999999</v>
      </c>
      <c r="J94" s="103">
        <v>8.0734002900000004</v>
      </c>
      <c r="K94" s="91">
        <v>1.5943061999999999</v>
      </c>
      <c r="L94" s="86"/>
      <c r="M94" s="86"/>
      <c r="N94" s="120" t="s">
        <v>120</v>
      </c>
      <c r="O94" s="122" t="b">
        <v>1</v>
      </c>
      <c r="P94" s="86"/>
      <c r="Q94" s="85" t="s">
        <v>136</v>
      </c>
      <c r="R94" s="86"/>
      <c r="S94" s="86"/>
      <c r="T94" s="123" t="s">
        <v>131</v>
      </c>
    </row>
    <row r="95" spans="2:20" x14ac:dyDescent="0.2">
      <c r="B95" s="87">
        <v>5</v>
      </c>
      <c r="C95" s="102">
        <v>0</v>
      </c>
      <c r="D95" s="104"/>
      <c r="E95" s="103"/>
      <c r="F95" s="104"/>
      <c r="G95" s="103">
        <v>5.9502587699999996</v>
      </c>
      <c r="H95" s="104">
        <v>0</v>
      </c>
      <c r="I95" s="103">
        <v>9.1883212200000006</v>
      </c>
      <c r="J95" s="103">
        <v>14.660415199999999</v>
      </c>
      <c r="K95" s="103">
        <v>6.7620529999999998E-2</v>
      </c>
      <c r="L95" s="86"/>
      <c r="M95" s="86"/>
      <c r="N95" s="120" t="s">
        <v>117</v>
      </c>
      <c r="O95" s="99" t="b">
        <f>IF(Q95-R95&lt;=0,TRUE,FALSE)</f>
        <v>1</v>
      </c>
      <c r="P95" s="86"/>
      <c r="Q95" s="116">
        <v>1</v>
      </c>
      <c r="R95" s="115">
        <v>1</v>
      </c>
      <c r="S95" s="86"/>
    </row>
    <row r="96" spans="2:20" x14ac:dyDescent="0.2">
      <c r="B96" s="87">
        <v>6</v>
      </c>
      <c r="C96" s="107"/>
      <c r="D96" s="109"/>
      <c r="E96" s="108"/>
      <c r="F96" s="109"/>
      <c r="G96" s="108"/>
      <c r="H96" s="108"/>
      <c r="I96" s="109"/>
      <c r="J96" s="103"/>
      <c r="K96" s="108"/>
      <c r="L96" s="86"/>
      <c r="M96" s="86"/>
      <c r="N96" s="86"/>
      <c r="O96" s="86"/>
      <c r="P96" s="86"/>
      <c r="Q96" s="86"/>
      <c r="R96" s="86"/>
      <c r="S96" s="86"/>
    </row>
    <row r="97" spans="2:20" x14ac:dyDescent="0.2">
      <c r="B97" s="87">
        <v>7</v>
      </c>
      <c r="C97" s="90">
        <v>0</v>
      </c>
      <c r="D97" s="109"/>
      <c r="E97" s="108"/>
      <c r="F97" s="109"/>
      <c r="G97" s="91">
        <v>8.0734002900000004</v>
      </c>
      <c r="H97" s="91"/>
      <c r="I97" s="91">
        <v>5.3654196199999999</v>
      </c>
      <c r="J97" s="104">
        <v>0</v>
      </c>
      <c r="K97" s="91">
        <v>2.6333919400000001</v>
      </c>
      <c r="L97" s="86"/>
      <c r="M97" s="86"/>
      <c r="N97" s="86"/>
      <c r="O97" s="86"/>
      <c r="P97" s="86"/>
      <c r="Q97" s="86"/>
      <c r="R97" s="86"/>
      <c r="S97" s="86"/>
      <c r="T97" s="86"/>
    </row>
    <row r="98" spans="2:20" x14ac:dyDescent="0.2">
      <c r="B98" s="87">
        <v>8</v>
      </c>
      <c r="C98" s="90">
        <v>0</v>
      </c>
      <c r="D98" s="109"/>
      <c r="E98" s="108"/>
      <c r="F98" s="109"/>
      <c r="G98" s="91">
        <v>1.5943061999999999</v>
      </c>
      <c r="H98" s="91">
        <v>6.7620529999999998E-2</v>
      </c>
      <c r="I98" s="91">
        <v>3.0777406599999999</v>
      </c>
      <c r="J98" s="103">
        <v>2.6333919400000001</v>
      </c>
      <c r="K98" s="93">
        <v>0</v>
      </c>
      <c r="L98" s="86"/>
      <c r="M98" s="86"/>
      <c r="N98" s="86"/>
      <c r="O98" s="86"/>
      <c r="P98" s="86"/>
      <c r="Q98" s="86"/>
      <c r="R98" s="86"/>
      <c r="S98" s="86"/>
      <c r="T98" s="86"/>
    </row>
    <row r="100" spans="2:20" x14ac:dyDescent="0.2">
      <c r="B100" s="85" t="s">
        <v>152</v>
      </c>
      <c r="C100" s="85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86"/>
      <c r="P100" s="86"/>
      <c r="Q100" s="86"/>
      <c r="R100" s="86"/>
      <c r="S100" s="86"/>
      <c r="T100" s="86"/>
    </row>
    <row r="101" spans="2:20" x14ac:dyDescent="0.2">
      <c r="B101" s="87"/>
      <c r="C101" s="87">
        <v>0</v>
      </c>
      <c r="D101" s="87">
        <v>1</v>
      </c>
      <c r="E101" s="87">
        <v>2</v>
      </c>
      <c r="F101" s="87">
        <v>3</v>
      </c>
      <c r="G101" s="87">
        <v>4</v>
      </c>
      <c r="H101" s="87">
        <v>5</v>
      </c>
      <c r="I101" s="87">
        <v>6</v>
      </c>
      <c r="J101" s="87">
        <v>7</v>
      </c>
      <c r="K101" s="87">
        <v>8</v>
      </c>
      <c r="L101" s="86"/>
      <c r="M101" s="86"/>
      <c r="N101" s="85" t="s">
        <v>137</v>
      </c>
      <c r="O101" s="86"/>
      <c r="P101" s="86"/>
      <c r="Q101" s="85" t="s">
        <v>120</v>
      </c>
      <c r="R101" s="86"/>
      <c r="S101" s="86"/>
      <c r="T101" s="85" t="s">
        <v>134</v>
      </c>
    </row>
    <row r="102" spans="2:20" x14ac:dyDescent="0.2">
      <c r="B102" s="87">
        <v>0</v>
      </c>
      <c r="C102" s="88">
        <v>0</v>
      </c>
      <c r="D102" s="113"/>
      <c r="E102" s="113"/>
      <c r="F102" s="113"/>
      <c r="G102" s="106">
        <v>0</v>
      </c>
      <c r="H102" s="89">
        <v>0</v>
      </c>
      <c r="I102" s="89">
        <v>0</v>
      </c>
      <c r="J102" s="113"/>
      <c r="K102" s="89">
        <v>0</v>
      </c>
      <c r="L102" s="86"/>
      <c r="M102" s="86"/>
      <c r="N102" s="114" t="s">
        <v>118</v>
      </c>
      <c r="O102" s="115" t="s">
        <v>153</v>
      </c>
      <c r="P102" s="86"/>
      <c r="Q102" s="116" t="s">
        <v>121</v>
      </c>
      <c r="R102" s="117">
        <v>0</v>
      </c>
      <c r="S102" s="86"/>
      <c r="T102" s="116" t="s">
        <v>125</v>
      </c>
    </row>
    <row r="103" spans="2:20" x14ac:dyDescent="0.2">
      <c r="B103" s="87">
        <v>1</v>
      </c>
      <c r="C103" s="121">
        <v>0</v>
      </c>
      <c r="D103" s="109"/>
      <c r="E103" s="109"/>
      <c r="F103" s="127"/>
      <c r="G103" s="104"/>
      <c r="H103" s="109"/>
      <c r="I103" s="109"/>
      <c r="J103" s="109"/>
      <c r="K103" s="109"/>
      <c r="L103" s="86"/>
      <c r="M103" s="86"/>
      <c r="N103" s="124" t="s">
        <v>114</v>
      </c>
      <c r="O103" s="125"/>
      <c r="P103" s="86"/>
      <c r="Q103" s="118" t="s">
        <v>123</v>
      </c>
      <c r="R103" s="119">
        <v>0</v>
      </c>
      <c r="S103" s="86"/>
      <c r="T103" s="120" t="s">
        <v>149</v>
      </c>
    </row>
    <row r="104" spans="2:20" x14ac:dyDescent="0.2">
      <c r="B104" s="87">
        <v>2</v>
      </c>
      <c r="C104" s="121">
        <v>0</v>
      </c>
      <c r="D104" s="109"/>
      <c r="E104" s="109"/>
      <c r="F104" s="109"/>
      <c r="G104" s="104"/>
      <c r="H104" s="109"/>
      <c r="I104" s="109"/>
      <c r="J104" s="109"/>
      <c r="K104" s="109"/>
      <c r="L104" s="86"/>
      <c r="M104" s="86"/>
      <c r="N104" s="120" t="s">
        <v>115</v>
      </c>
      <c r="O104" s="122" t="s">
        <v>135</v>
      </c>
      <c r="P104" s="86"/>
      <c r="Q104" s="118" t="s">
        <v>124</v>
      </c>
      <c r="R104" s="119">
        <v>80</v>
      </c>
      <c r="S104" s="86"/>
      <c r="T104" s="123" t="s">
        <v>127</v>
      </c>
    </row>
    <row r="105" spans="2:20" x14ac:dyDescent="0.2">
      <c r="B105" s="87">
        <v>3</v>
      </c>
      <c r="C105" s="90">
        <v>0</v>
      </c>
      <c r="D105" s="109"/>
      <c r="E105" s="109"/>
      <c r="F105" s="109"/>
      <c r="G105" s="103">
        <v>0.59485516999999999</v>
      </c>
      <c r="H105" s="91">
        <v>0.21483097000000001</v>
      </c>
      <c r="I105" s="91">
        <v>6.8982127000000002</v>
      </c>
      <c r="J105" s="109"/>
      <c r="K105" s="134"/>
      <c r="L105" s="86"/>
      <c r="M105" s="86"/>
      <c r="N105" s="120" t="s">
        <v>116</v>
      </c>
      <c r="O105" s="122" t="s">
        <v>135</v>
      </c>
      <c r="P105" s="86"/>
      <c r="Q105" s="86"/>
      <c r="R105" s="86"/>
      <c r="S105" s="86"/>
      <c r="T105" s="120" t="s">
        <v>150</v>
      </c>
    </row>
    <row r="106" spans="2:20" x14ac:dyDescent="0.2">
      <c r="B106" s="87">
        <v>4</v>
      </c>
      <c r="C106" s="90">
        <v>0</v>
      </c>
      <c r="D106" s="109"/>
      <c r="E106" s="109"/>
      <c r="F106" s="109"/>
      <c r="G106" s="104">
        <v>0</v>
      </c>
      <c r="H106" s="91">
        <v>5.9502587699999996</v>
      </c>
      <c r="I106" s="91">
        <v>1.6733886899999999</v>
      </c>
      <c r="J106" s="109"/>
      <c r="K106" s="91">
        <v>1.5943061999999999</v>
      </c>
      <c r="L106" s="86"/>
      <c r="M106" s="86"/>
      <c r="N106" s="120" t="s">
        <v>120</v>
      </c>
      <c r="O106" s="122" t="b">
        <v>1</v>
      </c>
      <c r="P106" s="86"/>
      <c r="Q106" s="85" t="s">
        <v>136</v>
      </c>
      <c r="R106" s="86"/>
      <c r="S106" s="86"/>
      <c r="T106" s="123" t="s">
        <v>131</v>
      </c>
    </row>
    <row r="107" spans="2:20" x14ac:dyDescent="0.2">
      <c r="B107" s="87">
        <v>5</v>
      </c>
      <c r="C107" s="121"/>
      <c r="D107" s="109"/>
      <c r="E107" s="109"/>
      <c r="F107" s="109"/>
      <c r="G107" s="104"/>
      <c r="H107" s="109"/>
      <c r="I107" s="109"/>
      <c r="J107" s="127"/>
      <c r="K107" s="109"/>
      <c r="L107" s="86"/>
      <c r="M107" s="86"/>
      <c r="N107" s="120" t="s">
        <v>117</v>
      </c>
      <c r="O107" s="130" t="b">
        <f>IF(Q107-R107&lt;=0,TRUE,FALSE)</f>
        <v>0</v>
      </c>
      <c r="P107" s="86"/>
      <c r="Q107" s="116">
        <v>1</v>
      </c>
      <c r="R107" s="115">
        <v>0</v>
      </c>
      <c r="S107" s="86"/>
      <c r="T107" s="86"/>
    </row>
    <row r="108" spans="2:20" x14ac:dyDescent="0.2">
      <c r="B108" s="87">
        <v>6</v>
      </c>
      <c r="C108" s="121"/>
      <c r="D108" s="109"/>
      <c r="E108" s="109"/>
      <c r="F108" s="109"/>
      <c r="G108" s="104"/>
      <c r="H108" s="109"/>
      <c r="I108" s="109"/>
      <c r="J108" s="109"/>
      <c r="K108" s="109"/>
      <c r="L108" s="86"/>
      <c r="M108" s="86"/>
      <c r="N108" s="86"/>
      <c r="O108" s="86"/>
      <c r="P108" s="86"/>
      <c r="Q108" s="86"/>
      <c r="R108" s="86"/>
      <c r="S108" s="86"/>
      <c r="T108" s="86"/>
    </row>
    <row r="109" spans="2:20" x14ac:dyDescent="0.2">
      <c r="B109" s="87">
        <v>7</v>
      </c>
      <c r="C109" s="102">
        <v>0</v>
      </c>
      <c r="D109" s="104"/>
      <c r="E109" s="104"/>
      <c r="F109" s="104"/>
      <c r="G109" s="103">
        <v>8.0734002900000004</v>
      </c>
      <c r="H109" s="103"/>
      <c r="I109" s="103">
        <v>5.3654196199999999</v>
      </c>
      <c r="J109" s="104"/>
      <c r="K109" s="103">
        <v>2.6333919400000001</v>
      </c>
      <c r="L109" s="86"/>
      <c r="M109" s="86"/>
      <c r="N109" s="86"/>
      <c r="O109" s="86"/>
      <c r="P109" s="86"/>
      <c r="Q109" s="86"/>
      <c r="R109" s="86"/>
      <c r="S109" s="86"/>
      <c r="T109" s="86"/>
    </row>
    <row r="110" spans="2:20" x14ac:dyDescent="0.2">
      <c r="B110" s="87">
        <v>8</v>
      </c>
      <c r="C110" s="90">
        <v>0</v>
      </c>
      <c r="D110" s="109"/>
      <c r="E110" s="109"/>
      <c r="F110" s="109"/>
      <c r="G110" s="103">
        <v>1.5943061999999999</v>
      </c>
      <c r="H110" s="91">
        <v>6.7620529999999998E-2</v>
      </c>
      <c r="I110" s="91">
        <v>3.0777406599999999</v>
      </c>
      <c r="J110" s="109"/>
      <c r="K110" s="93">
        <v>0</v>
      </c>
      <c r="L110" s="86"/>
      <c r="M110" s="86"/>
      <c r="N110" s="86"/>
      <c r="O110" s="86"/>
      <c r="P110" s="86"/>
      <c r="Q110" s="86"/>
      <c r="R110" s="86"/>
      <c r="S110" s="86"/>
      <c r="T110" s="86"/>
    </row>
    <row r="112" spans="2:20" x14ac:dyDescent="0.2">
      <c r="B112" s="85" t="s">
        <v>154</v>
      </c>
      <c r="C112" s="85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86"/>
      <c r="S112" s="86"/>
      <c r="T112" s="86"/>
    </row>
    <row r="113" spans="2:20" x14ac:dyDescent="0.2">
      <c r="B113" s="87"/>
      <c r="C113" s="87">
        <v>0</v>
      </c>
      <c r="D113" s="87">
        <v>1</v>
      </c>
      <c r="E113" s="87">
        <v>2</v>
      </c>
      <c r="F113" s="87">
        <v>3</v>
      </c>
      <c r="G113" s="87">
        <v>4</v>
      </c>
      <c r="H113" s="87">
        <v>5</v>
      </c>
      <c r="I113" s="87">
        <v>6</v>
      </c>
      <c r="J113" s="87">
        <v>7</v>
      </c>
      <c r="K113" s="87">
        <v>8</v>
      </c>
      <c r="L113" s="86"/>
      <c r="M113" s="86"/>
      <c r="N113" s="85" t="s">
        <v>137</v>
      </c>
      <c r="O113" s="86"/>
      <c r="P113" s="86"/>
      <c r="Q113" s="85" t="s">
        <v>120</v>
      </c>
      <c r="R113" s="86"/>
      <c r="S113" s="86"/>
      <c r="T113" s="85" t="s">
        <v>134</v>
      </c>
    </row>
    <row r="114" spans="2:20" x14ac:dyDescent="0.2">
      <c r="B114" s="87">
        <v>0</v>
      </c>
      <c r="C114" s="88">
        <v>0</v>
      </c>
      <c r="D114" s="113"/>
      <c r="E114" s="113"/>
      <c r="F114" s="113"/>
      <c r="G114" s="138">
        <v>0</v>
      </c>
      <c r="H114" s="89">
        <v>0</v>
      </c>
      <c r="I114" s="89">
        <v>0</v>
      </c>
      <c r="J114" s="113"/>
      <c r="K114" s="89">
        <v>0</v>
      </c>
      <c r="L114" s="86"/>
      <c r="M114" s="86"/>
      <c r="N114" s="114" t="s">
        <v>118</v>
      </c>
      <c r="O114" s="115" t="s">
        <v>150</v>
      </c>
      <c r="P114" s="86"/>
      <c r="Q114" s="116" t="s">
        <v>121</v>
      </c>
      <c r="R114" s="117">
        <v>0</v>
      </c>
      <c r="S114" s="86"/>
      <c r="T114" s="116" t="s">
        <v>125</v>
      </c>
    </row>
    <row r="115" spans="2:20" x14ac:dyDescent="0.2">
      <c r="B115" s="87">
        <v>1</v>
      </c>
      <c r="C115" s="121">
        <v>0</v>
      </c>
      <c r="D115" s="109"/>
      <c r="E115" s="109"/>
      <c r="F115" s="127"/>
      <c r="G115" s="109"/>
      <c r="H115" s="109"/>
      <c r="I115" s="109"/>
      <c r="J115" s="109"/>
      <c r="K115" s="109"/>
      <c r="L115" s="86"/>
      <c r="M115" s="86"/>
      <c r="N115" s="124" t="s">
        <v>114</v>
      </c>
      <c r="O115" s="125"/>
      <c r="P115" s="86"/>
      <c r="Q115" s="118" t="s">
        <v>123</v>
      </c>
      <c r="R115" s="119">
        <v>0</v>
      </c>
      <c r="S115" s="86"/>
      <c r="T115" s="120" t="s">
        <v>149</v>
      </c>
    </row>
    <row r="116" spans="2:20" x14ac:dyDescent="0.2">
      <c r="B116" s="87">
        <v>2</v>
      </c>
      <c r="C116" s="121">
        <v>0</v>
      </c>
      <c r="D116" s="109"/>
      <c r="E116" s="109"/>
      <c r="F116" s="109"/>
      <c r="G116" s="109"/>
      <c r="H116" s="109"/>
      <c r="I116" s="109"/>
      <c r="J116" s="109"/>
      <c r="K116" s="109"/>
      <c r="L116" s="86"/>
      <c r="M116" s="86"/>
      <c r="N116" s="120" t="s">
        <v>115</v>
      </c>
      <c r="O116" s="122" t="s">
        <v>135</v>
      </c>
      <c r="P116" s="86"/>
      <c r="Q116" s="118" t="s">
        <v>124</v>
      </c>
      <c r="R116" s="119">
        <v>80</v>
      </c>
      <c r="S116" s="86"/>
      <c r="T116" s="123" t="s">
        <v>127</v>
      </c>
    </row>
    <row r="117" spans="2:20" x14ac:dyDescent="0.2">
      <c r="B117" s="87">
        <v>3</v>
      </c>
      <c r="C117" s="90">
        <v>0</v>
      </c>
      <c r="D117" s="109"/>
      <c r="E117" s="109"/>
      <c r="F117" s="109"/>
      <c r="G117" s="135">
        <v>0.59485516999999999</v>
      </c>
      <c r="H117" s="91">
        <v>0.21483097000000001</v>
      </c>
      <c r="I117" s="91">
        <v>6.8982127000000002</v>
      </c>
      <c r="J117" s="109"/>
      <c r="K117" s="135"/>
      <c r="L117" s="86"/>
      <c r="M117" s="86"/>
      <c r="N117" s="120" t="s">
        <v>116</v>
      </c>
      <c r="O117" s="122" t="s">
        <v>135</v>
      </c>
      <c r="P117" s="86"/>
      <c r="Q117" s="86"/>
      <c r="R117" s="86"/>
      <c r="S117" s="86"/>
      <c r="T117" s="120" t="s">
        <v>150</v>
      </c>
    </row>
    <row r="118" spans="2:20" x14ac:dyDescent="0.2">
      <c r="B118" s="87">
        <v>4</v>
      </c>
      <c r="C118" s="90">
        <v>0</v>
      </c>
      <c r="D118" s="109"/>
      <c r="E118" s="109"/>
      <c r="F118" s="109"/>
      <c r="G118" s="135">
        <v>0</v>
      </c>
      <c r="H118" s="91">
        <v>5.9502587699999996</v>
      </c>
      <c r="I118" s="91">
        <v>1.6733886899999999</v>
      </c>
      <c r="J118" s="109"/>
      <c r="K118" s="91">
        <v>1.5943061999999999</v>
      </c>
      <c r="L118" s="86"/>
      <c r="M118" s="86"/>
      <c r="N118" s="120" t="s">
        <v>120</v>
      </c>
      <c r="O118" s="122" t="b">
        <v>1</v>
      </c>
      <c r="P118" s="86"/>
      <c r="Q118" s="85" t="s">
        <v>136</v>
      </c>
      <c r="R118" s="86"/>
      <c r="S118" s="86"/>
      <c r="T118" s="123" t="s">
        <v>131</v>
      </c>
    </row>
    <row r="119" spans="2:20" x14ac:dyDescent="0.2">
      <c r="B119" s="87">
        <v>5</v>
      </c>
      <c r="C119" s="121"/>
      <c r="D119" s="109"/>
      <c r="E119" s="109"/>
      <c r="F119" s="109"/>
      <c r="G119" s="109"/>
      <c r="H119" s="109"/>
      <c r="I119" s="109"/>
      <c r="J119" s="127"/>
      <c r="K119" s="109"/>
      <c r="L119" s="86"/>
      <c r="M119" s="86"/>
      <c r="N119" s="120" t="s">
        <v>117</v>
      </c>
      <c r="O119" s="136" t="b">
        <v>0</v>
      </c>
      <c r="P119" s="86"/>
      <c r="Q119" s="116">
        <v>1</v>
      </c>
      <c r="R119" s="115">
        <v>0</v>
      </c>
      <c r="S119" s="86"/>
      <c r="T119" s="86"/>
    </row>
    <row r="120" spans="2:20" x14ac:dyDescent="0.2">
      <c r="B120" s="87">
        <v>6</v>
      </c>
      <c r="C120" s="121"/>
      <c r="D120" s="109"/>
      <c r="E120" s="109"/>
      <c r="F120" s="109"/>
      <c r="G120" s="109"/>
      <c r="H120" s="109"/>
      <c r="I120" s="109"/>
      <c r="J120" s="109"/>
      <c r="K120" s="109"/>
      <c r="L120" s="86"/>
      <c r="M120" s="86"/>
      <c r="N120" s="86"/>
      <c r="O120" s="86"/>
      <c r="P120" s="86"/>
      <c r="Q120" s="86"/>
      <c r="R120" s="86"/>
      <c r="S120" s="86"/>
      <c r="T120" s="86"/>
    </row>
    <row r="121" spans="2:20" x14ac:dyDescent="0.2">
      <c r="B121" s="87">
        <v>7</v>
      </c>
      <c r="C121" s="137">
        <v>0</v>
      </c>
      <c r="D121" s="109"/>
      <c r="E121" s="109"/>
      <c r="F121" s="109"/>
      <c r="G121" s="139"/>
      <c r="H121" s="135"/>
      <c r="I121" s="135">
        <v>5.3654196199999999</v>
      </c>
      <c r="J121" s="109"/>
      <c r="K121" s="135">
        <v>2.6333919400000001</v>
      </c>
      <c r="L121" s="86"/>
      <c r="M121" s="86"/>
      <c r="N121" s="86"/>
      <c r="O121" s="86"/>
      <c r="P121" s="86"/>
      <c r="Q121" s="86"/>
      <c r="R121" s="86"/>
      <c r="S121" s="86"/>
      <c r="T121" s="86"/>
    </row>
    <row r="122" spans="2:20" x14ac:dyDescent="0.2">
      <c r="B122" s="87">
        <v>8</v>
      </c>
      <c r="C122" s="90">
        <v>0</v>
      </c>
      <c r="D122" s="109"/>
      <c r="E122" s="109"/>
      <c r="F122" s="109"/>
      <c r="G122" s="135">
        <v>1.5943061999999999</v>
      </c>
      <c r="H122" s="91">
        <v>6.7620529999999998E-2</v>
      </c>
      <c r="I122" s="91">
        <v>3.0777406599999999</v>
      </c>
      <c r="J122" s="109"/>
      <c r="K122" s="135">
        <v>0</v>
      </c>
      <c r="L122" s="86"/>
      <c r="M122" s="86"/>
      <c r="N122" s="86"/>
      <c r="O122" s="86"/>
      <c r="P122" s="86"/>
      <c r="Q122" s="86"/>
      <c r="R122" s="86"/>
      <c r="S122" s="86"/>
      <c r="T122" s="86"/>
    </row>
    <row r="124" spans="2:20" x14ac:dyDescent="0.2">
      <c r="B124" s="85" t="s">
        <v>155</v>
      </c>
      <c r="C124" s="85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  <c r="S124" s="86"/>
      <c r="T124" s="86"/>
    </row>
    <row r="125" spans="2:20" x14ac:dyDescent="0.2">
      <c r="B125" s="87"/>
      <c r="C125" s="87">
        <v>0</v>
      </c>
      <c r="D125" s="87">
        <v>1</v>
      </c>
      <c r="E125" s="87">
        <v>2</v>
      </c>
      <c r="F125" s="87">
        <v>3</v>
      </c>
      <c r="G125" s="87">
        <v>4</v>
      </c>
      <c r="H125" s="87">
        <v>5</v>
      </c>
      <c r="I125" s="87">
        <v>6</v>
      </c>
      <c r="J125" s="87">
        <v>7</v>
      </c>
      <c r="K125" s="87">
        <v>8</v>
      </c>
      <c r="L125" s="86"/>
      <c r="M125" s="86"/>
      <c r="N125" s="85" t="s">
        <v>137</v>
      </c>
      <c r="O125" s="86"/>
      <c r="P125" s="86"/>
      <c r="Q125" s="85" t="s">
        <v>120</v>
      </c>
      <c r="R125" s="86"/>
      <c r="S125" s="86"/>
      <c r="T125" s="85" t="s">
        <v>134</v>
      </c>
    </row>
    <row r="126" spans="2:20" x14ac:dyDescent="0.2">
      <c r="B126" s="87">
        <v>0</v>
      </c>
      <c r="C126" s="88">
        <v>0</v>
      </c>
      <c r="D126" s="113"/>
      <c r="E126" s="113"/>
      <c r="F126" s="113"/>
      <c r="G126" s="138">
        <v>0</v>
      </c>
      <c r="H126" s="89">
        <v>0</v>
      </c>
      <c r="I126" s="89">
        <v>0</v>
      </c>
      <c r="J126" s="113"/>
      <c r="K126" s="89">
        <v>0</v>
      </c>
      <c r="L126" s="86"/>
      <c r="M126" s="86"/>
      <c r="N126" s="114" t="s">
        <v>118</v>
      </c>
      <c r="O126" s="115" t="s">
        <v>156</v>
      </c>
      <c r="P126" s="86"/>
      <c r="Q126" s="116" t="s">
        <v>121</v>
      </c>
      <c r="R126" s="117">
        <f>P8</f>
        <v>50</v>
      </c>
      <c r="S126" s="86"/>
      <c r="T126" s="116" t="s">
        <v>125</v>
      </c>
    </row>
    <row r="127" spans="2:20" x14ac:dyDescent="0.2">
      <c r="B127" s="87">
        <v>1</v>
      </c>
      <c r="C127" s="121">
        <v>0</v>
      </c>
      <c r="D127" s="109"/>
      <c r="E127" s="109"/>
      <c r="F127" s="127"/>
      <c r="G127" s="109"/>
      <c r="H127" s="109"/>
      <c r="I127" s="109"/>
      <c r="J127" s="109"/>
      <c r="K127" s="109"/>
      <c r="L127" s="86"/>
      <c r="M127" s="86"/>
      <c r="N127" s="124" t="s">
        <v>114</v>
      </c>
      <c r="O127" s="125"/>
      <c r="P127" s="86"/>
      <c r="Q127" s="118" t="s">
        <v>123</v>
      </c>
      <c r="R127" s="119">
        <v>0</v>
      </c>
      <c r="S127" s="86"/>
      <c r="T127" s="120" t="s">
        <v>149</v>
      </c>
    </row>
    <row r="128" spans="2:20" x14ac:dyDescent="0.2">
      <c r="B128" s="87">
        <v>2</v>
      </c>
      <c r="C128" s="121">
        <v>0</v>
      </c>
      <c r="D128" s="109"/>
      <c r="E128" s="109"/>
      <c r="F128" s="109"/>
      <c r="G128" s="109"/>
      <c r="H128" s="109"/>
      <c r="I128" s="109"/>
      <c r="J128" s="109"/>
      <c r="K128" s="109"/>
      <c r="L128" s="86"/>
      <c r="M128" s="86"/>
      <c r="N128" s="120" t="s">
        <v>115</v>
      </c>
      <c r="O128" s="122" t="s">
        <v>135</v>
      </c>
      <c r="P128" s="86"/>
      <c r="Q128" s="118" t="s">
        <v>124</v>
      </c>
      <c r="R128" s="119">
        <f>R127+P9+P11</f>
        <v>80</v>
      </c>
      <c r="S128" s="86"/>
      <c r="T128" s="120" t="s">
        <v>156</v>
      </c>
    </row>
    <row r="129" spans="2:20" x14ac:dyDescent="0.2">
      <c r="B129" s="87">
        <v>3</v>
      </c>
      <c r="C129" s="90">
        <v>0</v>
      </c>
      <c r="D129" s="109"/>
      <c r="E129" s="109"/>
      <c r="F129" s="109"/>
      <c r="G129" s="135">
        <v>0.59485516999999999</v>
      </c>
      <c r="H129" s="91">
        <v>0.21483097000000001</v>
      </c>
      <c r="I129" s="91"/>
      <c r="J129" s="109"/>
      <c r="K129" s="135"/>
      <c r="L129" s="86"/>
      <c r="M129" s="86"/>
      <c r="N129" s="120" t="s">
        <v>116</v>
      </c>
      <c r="O129" s="122" t="s">
        <v>135</v>
      </c>
      <c r="P129" s="86"/>
      <c r="Q129" s="86"/>
      <c r="R129" s="86"/>
      <c r="S129" s="86"/>
      <c r="T129" s="123" t="s">
        <v>131</v>
      </c>
    </row>
    <row r="130" spans="2:20" x14ac:dyDescent="0.2">
      <c r="B130" s="87">
        <v>4</v>
      </c>
      <c r="C130" s="90">
        <v>0</v>
      </c>
      <c r="D130" s="109"/>
      <c r="E130" s="109"/>
      <c r="F130" s="109"/>
      <c r="G130" s="135">
        <v>0</v>
      </c>
      <c r="H130" s="91">
        <v>5.9502587699999996</v>
      </c>
      <c r="I130" s="91">
        <v>1.6733886899999999</v>
      </c>
      <c r="J130" s="109"/>
      <c r="K130" s="91">
        <v>1.5943061999999999</v>
      </c>
      <c r="L130" s="86"/>
      <c r="M130" s="86"/>
      <c r="N130" s="120" t="s">
        <v>120</v>
      </c>
      <c r="O130" s="122" t="b">
        <v>1</v>
      </c>
      <c r="P130" s="86"/>
      <c r="Q130" s="85" t="s">
        <v>136</v>
      </c>
      <c r="R130" s="86"/>
      <c r="S130" s="86"/>
    </row>
    <row r="131" spans="2:20" x14ac:dyDescent="0.2">
      <c r="B131" s="87">
        <v>5</v>
      </c>
      <c r="C131" s="121"/>
      <c r="D131" s="109"/>
      <c r="E131" s="109"/>
      <c r="F131" s="109"/>
      <c r="G131" s="109"/>
      <c r="H131" s="109"/>
      <c r="I131" s="109"/>
      <c r="J131" s="127"/>
      <c r="K131" s="109"/>
      <c r="L131" s="86"/>
      <c r="M131" s="86"/>
      <c r="N131" s="120" t="s">
        <v>117</v>
      </c>
      <c r="O131" s="99" t="b">
        <f>IF(Q131-R131&lt;=0,TRUE,FALSE)</f>
        <v>1</v>
      </c>
      <c r="P131" s="86"/>
      <c r="Q131" s="116">
        <v>0</v>
      </c>
      <c r="R131" s="115">
        <v>1</v>
      </c>
      <c r="S131" s="86"/>
      <c r="T131" s="86"/>
    </row>
    <row r="132" spans="2:20" x14ac:dyDescent="0.2">
      <c r="B132" s="87">
        <v>6</v>
      </c>
      <c r="C132" s="121"/>
      <c r="D132" s="109"/>
      <c r="E132" s="109"/>
      <c r="F132" s="109"/>
      <c r="G132" s="109"/>
      <c r="H132" s="109"/>
      <c r="I132" s="109"/>
      <c r="J132" s="109"/>
      <c r="K132" s="109"/>
      <c r="L132" s="86"/>
      <c r="M132" s="86"/>
      <c r="N132" s="86"/>
      <c r="O132" s="86"/>
      <c r="P132" s="86"/>
      <c r="Q132" s="86"/>
      <c r="R132" s="86"/>
      <c r="S132" s="86"/>
      <c r="T132" s="86"/>
    </row>
    <row r="133" spans="2:20" x14ac:dyDescent="0.2">
      <c r="B133" s="87">
        <v>7</v>
      </c>
      <c r="C133" s="137">
        <v>0</v>
      </c>
      <c r="D133" s="109"/>
      <c r="E133" s="109"/>
      <c r="F133" s="109"/>
      <c r="G133" s="139"/>
      <c r="H133" s="135"/>
      <c r="I133" s="135">
        <v>5.3654196199999999</v>
      </c>
      <c r="J133" s="109"/>
      <c r="K133" s="135">
        <v>2.6333919400000001</v>
      </c>
      <c r="L133" s="86"/>
      <c r="M133" s="86"/>
      <c r="N133" s="86"/>
      <c r="O133" s="86"/>
      <c r="P133" s="86"/>
      <c r="Q133" s="86"/>
      <c r="R133" s="86"/>
      <c r="S133" s="86"/>
      <c r="T133" s="86"/>
    </row>
    <row r="134" spans="2:20" x14ac:dyDescent="0.2">
      <c r="B134" s="87">
        <v>8</v>
      </c>
      <c r="C134" s="90">
        <v>0</v>
      </c>
      <c r="D134" s="109"/>
      <c r="E134" s="109"/>
      <c r="F134" s="109"/>
      <c r="G134" s="135">
        <v>1.5943061999999999</v>
      </c>
      <c r="H134" s="91">
        <v>6.7620529999999998E-2</v>
      </c>
      <c r="I134" s="91">
        <v>3.0777406599999999</v>
      </c>
      <c r="J134" s="109"/>
      <c r="K134" s="135">
        <v>0</v>
      </c>
      <c r="L134" s="86"/>
      <c r="M134" s="86"/>
      <c r="N134" s="86"/>
      <c r="O134" s="86"/>
      <c r="P134" s="86"/>
      <c r="Q134" s="86"/>
      <c r="R134" s="86"/>
      <c r="S134" s="86"/>
      <c r="T134" s="86"/>
    </row>
    <row r="136" spans="2:20" x14ac:dyDescent="0.2">
      <c r="B136" s="85" t="s">
        <v>157</v>
      </c>
      <c r="C136" s="85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  <c r="R136" s="86"/>
      <c r="S136" s="86"/>
      <c r="T136" s="86"/>
    </row>
    <row r="137" spans="2:20" x14ac:dyDescent="0.2">
      <c r="B137" s="87"/>
      <c r="C137" s="87">
        <v>0</v>
      </c>
      <c r="D137" s="87">
        <v>1</v>
      </c>
      <c r="E137" s="87">
        <v>2</v>
      </c>
      <c r="F137" s="87">
        <v>3</v>
      </c>
      <c r="G137" s="87">
        <v>4</v>
      </c>
      <c r="H137" s="87">
        <v>5</v>
      </c>
      <c r="I137" s="87">
        <v>6</v>
      </c>
      <c r="J137" s="87">
        <v>7</v>
      </c>
      <c r="K137" s="87">
        <v>8</v>
      </c>
      <c r="L137" s="86"/>
      <c r="M137" s="86"/>
      <c r="N137" s="140" t="s">
        <v>137</v>
      </c>
      <c r="O137" s="141"/>
      <c r="P137" s="141"/>
      <c r="Q137" s="140" t="s">
        <v>120</v>
      </c>
      <c r="R137" s="141"/>
      <c r="S137" s="141"/>
      <c r="T137" s="140" t="s">
        <v>134</v>
      </c>
    </row>
    <row r="138" spans="2:20" x14ac:dyDescent="0.2">
      <c r="B138" s="87">
        <v>0</v>
      </c>
      <c r="C138" s="88">
        <v>0</v>
      </c>
      <c r="D138" s="113"/>
      <c r="E138" s="113"/>
      <c r="F138" s="113"/>
      <c r="G138" s="138">
        <v>0</v>
      </c>
      <c r="H138" s="110"/>
      <c r="I138" s="89">
        <v>0</v>
      </c>
      <c r="J138" s="113"/>
      <c r="K138" s="89">
        <v>0</v>
      </c>
      <c r="L138" s="86"/>
      <c r="M138" s="86"/>
      <c r="N138" s="142" t="s">
        <v>118</v>
      </c>
      <c r="O138" s="143" t="s">
        <v>156</v>
      </c>
      <c r="P138" s="141"/>
      <c r="Q138" s="144" t="s">
        <v>121</v>
      </c>
      <c r="R138" s="145">
        <f>P20</f>
        <v>0</v>
      </c>
      <c r="S138" s="141"/>
      <c r="T138" s="144" t="s">
        <v>125</v>
      </c>
    </row>
    <row r="139" spans="2:20" x14ac:dyDescent="0.2">
      <c r="B139" s="87">
        <v>1</v>
      </c>
      <c r="C139" s="121">
        <v>0</v>
      </c>
      <c r="D139" s="109"/>
      <c r="E139" s="109"/>
      <c r="F139" s="127"/>
      <c r="G139" s="109"/>
      <c r="H139" s="109"/>
      <c r="I139" s="109"/>
      <c r="J139" s="109"/>
      <c r="K139" s="109"/>
      <c r="L139" s="86"/>
      <c r="M139" s="86"/>
      <c r="N139" s="146" t="s">
        <v>114</v>
      </c>
      <c r="O139" s="147"/>
      <c r="P139" s="141"/>
      <c r="Q139" s="148" t="s">
        <v>123</v>
      </c>
      <c r="R139" s="149">
        <v>0</v>
      </c>
      <c r="S139" s="141"/>
      <c r="T139" s="150" t="s">
        <v>149</v>
      </c>
    </row>
    <row r="140" spans="2:20" x14ac:dyDescent="0.2">
      <c r="B140" s="87">
        <v>2</v>
      </c>
      <c r="C140" s="121">
        <v>0</v>
      </c>
      <c r="D140" s="109"/>
      <c r="E140" s="109"/>
      <c r="F140" s="109"/>
      <c r="G140" s="109"/>
      <c r="H140" s="109"/>
      <c r="I140" s="109"/>
      <c r="J140" s="109"/>
      <c r="K140" s="109"/>
      <c r="L140" s="86"/>
      <c r="M140" s="86"/>
      <c r="N140" s="150" t="s">
        <v>115</v>
      </c>
      <c r="O140" s="151" t="s">
        <v>135</v>
      </c>
      <c r="P140" s="141"/>
      <c r="Q140" s="148" t="s">
        <v>124</v>
      </c>
      <c r="R140" s="149">
        <f>R139+P21+P23</f>
        <v>0</v>
      </c>
      <c r="S140" s="141"/>
      <c r="T140" s="150" t="s">
        <v>156</v>
      </c>
    </row>
    <row r="141" spans="2:20" x14ac:dyDescent="0.2">
      <c r="B141" s="87">
        <v>3</v>
      </c>
      <c r="C141" s="90">
        <v>0</v>
      </c>
      <c r="D141" s="109"/>
      <c r="E141" s="109"/>
      <c r="F141" s="109"/>
      <c r="G141" s="135">
        <v>0.59485516999999999</v>
      </c>
      <c r="H141" s="108"/>
      <c r="I141" s="91"/>
      <c r="J141" s="109"/>
      <c r="K141" s="135"/>
      <c r="L141" s="86"/>
      <c r="M141" s="86"/>
      <c r="N141" s="150" t="s">
        <v>116</v>
      </c>
      <c r="O141" s="151" t="s">
        <v>135</v>
      </c>
      <c r="P141" s="141"/>
      <c r="Q141" s="141"/>
      <c r="R141" s="141"/>
      <c r="S141" s="141"/>
      <c r="T141" s="152" t="s">
        <v>131</v>
      </c>
    </row>
    <row r="142" spans="2:20" x14ac:dyDescent="0.2">
      <c r="B142" s="87">
        <v>4</v>
      </c>
      <c r="C142" s="107"/>
      <c r="D142" s="109"/>
      <c r="E142" s="109"/>
      <c r="F142" s="109"/>
      <c r="G142" s="109"/>
      <c r="H142" s="108"/>
      <c r="I142" s="108"/>
      <c r="J142" s="109"/>
      <c r="K142" s="108"/>
      <c r="L142" s="86"/>
      <c r="M142" s="86"/>
      <c r="N142" s="150" t="s">
        <v>120</v>
      </c>
      <c r="O142" s="151" t="b">
        <v>1</v>
      </c>
      <c r="P142" s="141"/>
      <c r="Q142" s="140" t="s">
        <v>136</v>
      </c>
      <c r="R142" s="141"/>
      <c r="S142" s="141"/>
      <c r="T142" s="153"/>
    </row>
    <row r="143" spans="2:20" x14ac:dyDescent="0.2">
      <c r="B143" s="87">
        <v>5</v>
      </c>
      <c r="C143" s="121"/>
      <c r="D143" s="109"/>
      <c r="E143" s="109"/>
      <c r="F143" s="109"/>
      <c r="G143" s="109"/>
      <c r="H143" s="109"/>
      <c r="I143" s="109"/>
      <c r="J143" s="127"/>
      <c r="K143" s="109"/>
      <c r="L143" s="86"/>
      <c r="M143" s="86"/>
      <c r="N143" s="150" t="s">
        <v>117</v>
      </c>
      <c r="O143" s="154" t="b">
        <f>IF(Q143-R143&lt;=0,TRUE,FALSE)</f>
        <v>1</v>
      </c>
      <c r="P143" s="141"/>
      <c r="Q143" s="144">
        <v>0</v>
      </c>
      <c r="R143" s="143">
        <v>1</v>
      </c>
      <c r="S143" s="141"/>
      <c r="T143" s="141"/>
    </row>
    <row r="144" spans="2:20" x14ac:dyDescent="0.2">
      <c r="B144" s="87">
        <v>6</v>
      </c>
      <c r="C144" s="121"/>
      <c r="D144" s="109"/>
      <c r="E144" s="109"/>
      <c r="F144" s="109"/>
      <c r="G144" s="109"/>
      <c r="H144" s="109"/>
      <c r="I144" s="109"/>
      <c r="J144" s="109"/>
      <c r="K144" s="109"/>
      <c r="L144" s="86"/>
      <c r="M144" s="86"/>
      <c r="N144" s="86"/>
      <c r="O144" s="86"/>
      <c r="P144" s="86"/>
      <c r="Q144" s="86"/>
      <c r="R144" s="86"/>
      <c r="S144" s="86"/>
      <c r="T144" s="86"/>
    </row>
    <row r="145" spans="2:20" x14ac:dyDescent="0.2">
      <c r="B145" s="87">
        <v>7</v>
      </c>
      <c r="C145" s="137">
        <v>0</v>
      </c>
      <c r="D145" s="109"/>
      <c r="E145" s="109"/>
      <c r="F145" s="109"/>
      <c r="G145" s="139"/>
      <c r="H145" s="109"/>
      <c r="I145" s="135">
        <v>5.3654196199999999</v>
      </c>
      <c r="J145" s="109"/>
      <c r="K145" s="135">
        <v>2.6333919400000001</v>
      </c>
      <c r="L145" s="86"/>
      <c r="M145" s="86"/>
      <c r="N145" s="86"/>
      <c r="O145" s="86"/>
      <c r="P145" s="86"/>
      <c r="Q145" s="86"/>
      <c r="R145" s="86"/>
      <c r="S145" s="86"/>
      <c r="T145" s="86"/>
    </row>
    <row r="146" spans="2:20" x14ac:dyDescent="0.2">
      <c r="B146" s="87">
        <v>8</v>
      </c>
      <c r="C146" s="90">
        <v>0</v>
      </c>
      <c r="D146" s="109"/>
      <c r="E146" s="109"/>
      <c r="F146" s="109"/>
      <c r="G146" s="135">
        <v>1.5943061999999999</v>
      </c>
      <c r="H146" s="108"/>
      <c r="I146" s="91">
        <v>3.0777406599999999</v>
      </c>
      <c r="J146" s="109"/>
      <c r="K146" s="135">
        <v>0</v>
      </c>
      <c r="L146" s="86"/>
      <c r="M146" s="86"/>
      <c r="N146" s="86"/>
      <c r="O146" s="86"/>
      <c r="P146" s="86"/>
      <c r="Q146" s="86"/>
      <c r="R146" s="86"/>
      <c r="S146" s="86"/>
      <c r="T146" s="86"/>
    </row>
    <row r="148" spans="2:20" x14ac:dyDescent="0.2">
      <c r="B148" s="85" t="s">
        <v>158</v>
      </c>
      <c r="C148" s="85"/>
      <c r="D148" s="86"/>
      <c r="E148" s="86"/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  <c r="R148" s="86"/>
      <c r="S148" s="86"/>
      <c r="T148" s="86"/>
    </row>
    <row r="149" spans="2:20" x14ac:dyDescent="0.2">
      <c r="B149" s="87"/>
      <c r="C149" s="87">
        <v>0</v>
      </c>
      <c r="D149" s="87">
        <v>1</v>
      </c>
      <c r="E149" s="87">
        <v>2</v>
      </c>
      <c r="F149" s="87">
        <v>3</v>
      </c>
      <c r="G149" s="87">
        <v>4</v>
      </c>
      <c r="H149" s="87">
        <v>5</v>
      </c>
      <c r="I149" s="87">
        <v>6</v>
      </c>
      <c r="J149" s="87">
        <v>7</v>
      </c>
      <c r="K149" s="87">
        <v>8</v>
      </c>
      <c r="L149" s="86"/>
      <c r="M149" s="86"/>
      <c r="N149" s="140" t="s">
        <v>137</v>
      </c>
      <c r="O149" s="141"/>
      <c r="P149" s="141"/>
      <c r="Q149" s="140" t="s">
        <v>120</v>
      </c>
      <c r="R149" s="141"/>
      <c r="S149" s="141"/>
      <c r="T149" s="140" t="s">
        <v>134</v>
      </c>
    </row>
    <row r="150" spans="2:20" x14ac:dyDescent="0.2">
      <c r="B150" s="87">
        <v>0</v>
      </c>
      <c r="C150" s="88">
        <v>0</v>
      </c>
      <c r="D150" s="113"/>
      <c r="E150" s="113"/>
      <c r="F150" s="113"/>
      <c r="G150" s="138">
        <v>0</v>
      </c>
      <c r="H150" s="110"/>
      <c r="I150" s="89">
        <v>0</v>
      </c>
      <c r="J150" s="113"/>
      <c r="K150" s="89">
        <v>0</v>
      </c>
      <c r="L150" s="86"/>
      <c r="M150" s="86"/>
      <c r="N150" s="142" t="s">
        <v>118</v>
      </c>
      <c r="O150" s="143" t="s">
        <v>156</v>
      </c>
      <c r="P150" s="141"/>
      <c r="Q150" s="144" t="s">
        <v>121</v>
      </c>
      <c r="R150" s="145">
        <f>P32</f>
        <v>0</v>
      </c>
      <c r="S150" s="141"/>
      <c r="T150" s="144" t="s">
        <v>125</v>
      </c>
    </row>
    <row r="151" spans="2:20" x14ac:dyDescent="0.2">
      <c r="B151" s="87">
        <v>1</v>
      </c>
      <c r="C151" s="121">
        <v>0</v>
      </c>
      <c r="D151" s="109"/>
      <c r="E151" s="109"/>
      <c r="F151" s="127"/>
      <c r="G151" s="109"/>
      <c r="H151" s="109"/>
      <c r="I151" s="109"/>
      <c r="J151" s="109"/>
      <c r="K151" s="109"/>
      <c r="L151" s="86"/>
      <c r="M151" s="86"/>
      <c r="N151" s="146" t="s">
        <v>114</v>
      </c>
      <c r="O151" s="147"/>
      <c r="P151" s="141"/>
      <c r="Q151" s="148" t="s">
        <v>123</v>
      </c>
      <c r="R151" s="149">
        <v>0</v>
      </c>
      <c r="S151" s="141"/>
      <c r="T151" s="150" t="s">
        <v>149</v>
      </c>
    </row>
    <row r="152" spans="2:20" x14ac:dyDescent="0.2">
      <c r="B152" s="87">
        <v>2</v>
      </c>
      <c r="C152" s="121">
        <v>0</v>
      </c>
      <c r="D152" s="109"/>
      <c r="E152" s="109"/>
      <c r="F152" s="109"/>
      <c r="G152" s="109"/>
      <c r="H152" s="109"/>
      <c r="I152" s="109"/>
      <c r="J152" s="109"/>
      <c r="K152" s="109"/>
      <c r="L152" s="86"/>
      <c r="M152" s="86"/>
      <c r="N152" s="150" t="s">
        <v>115</v>
      </c>
      <c r="O152" s="151" t="s">
        <v>135</v>
      </c>
      <c r="P152" s="141"/>
      <c r="Q152" s="148" t="s">
        <v>124</v>
      </c>
      <c r="R152" s="149">
        <f>R151+P33+P35</f>
        <v>0</v>
      </c>
      <c r="S152" s="141"/>
      <c r="T152" s="150" t="s">
        <v>156</v>
      </c>
    </row>
    <row r="153" spans="2:20" x14ac:dyDescent="0.2">
      <c r="B153" s="87">
        <v>3</v>
      </c>
      <c r="C153" s="90">
        <v>0</v>
      </c>
      <c r="D153" s="109"/>
      <c r="E153" s="109"/>
      <c r="F153" s="109"/>
      <c r="G153" s="135">
        <v>0.59485516999999999</v>
      </c>
      <c r="H153" s="108"/>
      <c r="I153" s="91"/>
      <c r="J153" s="109"/>
      <c r="K153" s="135"/>
      <c r="L153" s="86"/>
      <c r="M153" s="86"/>
      <c r="N153" s="150" t="s">
        <v>116</v>
      </c>
      <c r="O153" s="151" t="s">
        <v>135</v>
      </c>
      <c r="P153" s="141"/>
      <c r="Q153" s="141"/>
      <c r="R153" s="141"/>
      <c r="S153" s="141"/>
      <c r="T153" s="152" t="s">
        <v>131</v>
      </c>
    </row>
    <row r="154" spans="2:20" x14ac:dyDescent="0.2">
      <c r="B154" s="87">
        <v>4</v>
      </c>
      <c r="C154" s="107"/>
      <c r="D154" s="109"/>
      <c r="E154" s="109"/>
      <c r="F154" s="109"/>
      <c r="G154" s="109"/>
      <c r="H154" s="108"/>
      <c r="I154" s="108"/>
      <c r="J154" s="109"/>
      <c r="K154" s="108"/>
      <c r="L154" s="86"/>
      <c r="M154" s="86"/>
      <c r="N154" s="150" t="s">
        <v>120</v>
      </c>
      <c r="O154" s="151" t="b">
        <v>1</v>
      </c>
      <c r="P154" s="141"/>
      <c r="Q154" s="140" t="s">
        <v>136</v>
      </c>
      <c r="R154" s="141"/>
      <c r="S154" s="141"/>
      <c r="T154" s="153"/>
    </row>
    <row r="155" spans="2:20" x14ac:dyDescent="0.2">
      <c r="B155" s="87">
        <v>5</v>
      </c>
      <c r="C155" s="121"/>
      <c r="D155" s="109"/>
      <c r="E155" s="109"/>
      <c r="F155" s="109"/>
      <c r="G155" s="109"/>
      <c r="H155" s="109"/>
      <c r="I155" s="109"/>
      <c r="J155" s="127"/>
      <c r="K155" s="109"/>
      <c r="L155" s="86"/>
      <c r="M155" s="86"/>
      <c r="N155" s="150" t="s">
        <v>117</v>
      </c>
      <c r="O155" s="154" t="b">
        <f>IF(Q155-R155&lt;=0,TRUE,FALSE)</f>
        <v>1</v>
      </c>
      <c r="P155" s="141"/>
      <c r="Q155" s="144">
        <v>0</v>
      </c>
      <c r="R155" s="143">
        <v>1</v>
      </c>
      <c r="S155" s="141"/>
      <c r="T155" s="141"/>
    </row>
    <row r="156" spans="2:20" x14ac:dyDescent="0.2">
      <c r="B156" s="87">
        <v>6</v>
      </c>
      <c r="C156" s="121"/>
      <c r="D156" s="109"/>
      <c r="E156" s="109"/>
      <c r="F156" s="109"/>
      <c r="G156" s="109"/>
      <c r="H156" s="109"/>
      <c r="I156" s="109"/>
      <c r="J156" s="109"/>
      <c r="K156" s="109"/>
      <c r="L156" s="86"/>
      <c r="M156" s="86"/>
      <c r="N156" s="86"/>
      <c r="O156" s="86"/>
      <c r="P156" s="86"/>
      <c r="Q156" s="86"/>
      <c r="R156" s="86"/>
      <c r="S156" s="86"/>
      <c r="T156" s="86"/>
    </row>
    <row r="157" spans="2:20" x14ac:dyDescent="0.2">
      <c r="B157" s="87">
        <v>7</v>
      </c>
      <c r="C157" s="137">
        <v>0</v>
      </c>
      <c r="D157" s="109"/>
      <c r="E157" s="109"/>
      <c r="F157" s="109"/>
      <c r="G157" s="139"/>
      <c r="H157" s="109"/>
      <c r="I157" s="135"/>
      <c r="J157" s="109"/>
      <c r="K157" s="135">
        <v>2.6333919400000001</v>
      </c>
      <c r="L157" s="86"/>
      <c r="M157" s="86"/>
      <c r="N157" s="86"/>
      <c r="O157" s="86"/>
      <c r="P157" s="86"/>
      <c r="Q157" s="86"/>
      <c r="R157" s="86"/>
      <c r="S157" s="86"/>
      <c r="T157" s="86"/>
    </row>
    <row r="158" spans="2:20" x14ac:dyDescent="0.2">
      <c r="B158" s="87">
        <v>8</v>
      </c>
      <c r="C158" s="90">
        <v>0</v>
      </c>
      <c r="D158" s="109"/>
      <c r="E158" s="109"/>
      <c r="F158" s="109"/>
      <c r="G158" s="135">
        <v>1.5943061999999999</v>
      </c>
      <c r="H158" s="108"/>
      <c r="I158" s="91">
        <v>3.0777406599999999</v>
      </c>
      <c r="J158" s="109"/>
      <c r="K158" s="135">
        <v>0</v>
      </c>
      <c r="L158" s="86"/>
      <c r="M158" s="86"/>
      <c r="N158" s="86"/>
      <c r="O158" s="86"/>
      <c r="P158" s="86"/>
      <c r="Q158" s="86"/>
      <c r="R158" s="86"/>
      <c r="S158" s="86"/>
      <c r="T158" s="86"/>
    </row>
    <row r="160" spans="2:20" x14ac:dyDescent="0.2">
      <c r="B160" s="85" t="s">
        <v>160</v>
      </c>
      <c r="C160" s="85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  <c r="R160" s="86"/>
      <c r="S160" s="86"/>
      <c r="T160" s="86"/>
    </row>
    <row r="161" spans="2:20" x14ac:dyDescent="0.2">
      <c r="B161" s="87"/>
      <c r="C161" s="87">
        <v>0</v>
      </c>
      <c r="D161" s="87">
        <v>1</v>
      </c>
      <c r="E161" s="87">
        <v>2</v>
      </c>
      <c r="F161" s="87">
        <v>3</v>
      </c>
      <c r="G161" s="87">
        <v>4</v>
      </c>
      <c r="H161" s="87">
        <v>5</v>
      </c>
      <c r="I161" s="87">
        <v>6</v>
      </c>
      <c r="J161" s="87">
        <v>7</v>
      </c>
      <c r="K161" s="87">
        <v>8</v>
      </c>
      <c r="L161" s="86"/>
      <c r="M161" s="86"/>
      <c r="N161" s="140" t="s">
        <v>137</v>
      </c>
      <c r="O161" s="141"/>
      <c r="P161" s="141"/>
      <c r="Q161" s="140" t="s">
        <v>120</v>
      </c>
      <c r="R161" s="141"/>
      <c r="S161" s="141"/>
      <c r="T161" s="140" t="s">
        <v>134</v>
      </c>
    </row>
    <row r="162" spans="2:20" x14ac:dyDescent="0.2">
      <c r="B162" s="87">
        <v>0</v>
      </c>
      <c r="C162" s="88">
        <v>0</v>
      </c>
      <c r="D162" s="113"/>
      <c r="E162" s="113"/>
      <c r="F162" s="113"/>
      <c r="G162" s="155">
        <v>0</v>
      </c>
      <c r="H162" s="113"/>
      <c r="I162" s="89">
        <v>0</v>
      </c>
      <c r="J162" s="113"/>
      <c r="K162" s="89">
        <v>0</v>
      </c>
      <c r="L162" s="86"/>
      <c r="M162" s="86"/>
      <c r="N162" s="142" t="s">
        <v>118</v>
      </c>
      <c r="O162" s="143" t="s">
        <v>159</v>
      </c>
      <c r="P162" s="141"/>
      <c r="Q162" s="144" t="s">
        <v>121</v>
      </c>
      <c r="R162" s="145">
        <f>P8+P12</f>
        <v>105</v>
      </c>
      <c r="S162" s="141"/>
      <c r="T162" s="144" t="s">
        <v>125</v>
      </c>
    </row>
    <row r="163" spans="2:20" x14ac:dyDescent="0.2">
      <c r="B163" s="87">
        <v>1</v>
      </c>
      <c r="C163" s="121">
        <v>0</v>
      </c>
      <c r="D163" s="109"/>
      <c r="E163" s="109"/>
      <c r="F163" s="127"/>
      <c r="G163" s="109"/>
      <c r="H163" s="109"/>
      <c r="I163" s="109"/>
      <c r="J163" s="109"/>
      <c r="K163" s="109"/>
      <c r="L163" s="86"/>
      <c r="M163" s="86"/>
      <c r="N163" s="146" t="s">
        <v>114</v>
      </c>
      <c r="O163" s="147"/>
      <c r="P163" s="141"/>
      <c r="Q163" s="148" t="s">
        <v>123</v>
      </c>
      <c r="R163" s="149">
        <v>0</v>
      </c>
      <c r="S163" s="141"/>
      <c r="T163" s="150" t="s">
        <v>149</v>
      </c>
    </row>
    <row r="164" spans="2:20" x14ac:dyDescent="0.2">
      <c r="B164" s="87">
        <v>2</v>
      </c>
      <c r="C164" s="121">
        <v>0</v>
      </c>
      <c r="D164" s="109"/>
      <c r="E164" s="109"/>
      <c r="F164" s="109"/>
      <c r="G164" s="109"/>
      <c r="H164" s="109"/>
      <c r="I164" s="109"/>
      <c r="J164" s="109"/>
      <c r="K164" s="109"/>
      <c r="L164" s="86"/>
      <c r="M164" s="86"/>
      <c r="N164" s="150" t="s">
        <v>115</v>
      </c>
      <c r="O164" s="151" t="s">
        <v>135</v>
      </c>
      <c r="P164" s="141"/>
      <c r="Q164" s="148" t="s">
        <v>124</v>
      </c>
      <c r="R164" s="149">
        <v>0</v>
      </c>
      <c r="S164" s="141"/>
      <c r="T164" s="150" t="s">
        <v>156</v>
      </c>
    </row>
    <row r="165" spans="2:20" x14ac:dyDescent="0.2">
      <c r="B165" s="87">
        <v>3</v>
      </c>
      <c r="C165" s="90">
        <v>0</v>
      </c>
      <c r="D165" s="109"/>
      <c r="E165" s="109"/>
      <c r="F165" s="109"/>
      <c r="G165" s="156">
        <v>0.59485516999999999</v>
      </c>
      <c r="H165" s="109"/>
      <c r="I165" s="91"/>
      <c r="J165" s="109"/>
      <c r="K165" s="156"/>
      <c r="L165" s="86"/>
      <c r="M165" s="86"/>
      <c r="N165" s="150" t="s">
        <v>116</v>
      </c>
      <c r="O165" s="151" t="s">
        <v>135</v>
      </c>
      <c r="P165" s="141"/>
      <c r="Q165" s="141"/>
      <c r="R165" s="141"/>
      <c r="S165" s="141"/>
      <c r="T165" s="152" t="s">
        <v>131</v>
      </c>
    </row>
    <row r="166" spans="2:20" x14ac:dyDescent="0.2">
      <c r="B166" s="87">
        <v>4</v>
      </c>
      <c r="C166" s="121"/>
      <c r="D166" s="109"/>
      <c r="E166" s="109"/>
      <c r="F166" s="109"/>
      <c r="G166" s="109"/>
      <c r="H166" s="109"/>
      <c r="I166" s="109"/>
      <c r="J166" s="109"/>
      <c r="K166" s="109"/>
      <c r="L166" s="86"/>
      <c r="M166" s="86"/>
      <c r="N166" s="150" t="s">
        <v>120</v>
      </c>
      <c r="O166" s="151" t="b">
        <v>1</v>
      </c>
      <c r="P166" s="141"/>
      <c r="Q166" s="140" t="s">
        <v>136</v>
      </c>
      <c r="R166" s="141"/>
      <c r="S166" s="141"/>
      <c r="T166" s="141"/>
    </row>
    <row r="167" spans="2:20" x14ac:dyDescent="0.2">
      <c r="B167" s="87">
        <v>5</v>
      </c>
      <c r="C167" s="121"/>
      <c r="D167" s="109"/>
      <c r="E167" s="109"/>
      <c r="F167" s="109"/>
      <c r="G167" s="109"/>
      <c r="H167" s="109"/>
      <c r="I167" s="109"/>
      <c r="J167" s="127"/>
      <c r="K167" s="109"/>
      <c r="L167" s="86"/>
      <c r="M167" s="86"/>
      <c r="N167" s="150" t="s">
        <v>117</v>
      </c>
      <c r="O167" s="154" t="b">
        <f>IF(Q167-R167&lt;=0,TRUE,FALSE)</f>
        <v>0</v>
      </c>
      <c r="P167" s="141"/>
      <c r="Q167" s="144">
        <v>1</v>
      </c>
      <c r="R167" s="143">
        <v>0</v>
      </c>
      <c r="S167" s="141"/>
      <c r="T167" s="141"/>
    </row>
    <row r="168" spans="2:20" x14ac:dyDescent="0.2">
      <c r="B168" s="87">
        <v>6</v>
      </c>
      <c r="C168" s="121"/>
      <c r="D168" s="109"/>
      <c r="E168" s="109"/>
      <c r="F168" s="109"/>
      <c r="G168" s="109"/>
      <c r="H168" s="109"/>
      <c r="I168" s="109"/>
      <c r="J168" s="109"/>
      <c r="K168" s="109"/>
      <c r="L168" s="86"/>
      <c r="M168" s="86"/>
      <c r="N168" s="86"/>
      <c r="O168" s="86"/>
      <c r="P168" s="86"/>
      <c r="Q168" s="86"/>
      <c r="R168" s="86"/>
      <c r="S168" s="86"/>
      <c r="T168" s="86"/>
    </row>
    <row r="169" spans="2:20" x14ac:dyDescent="0.2">
      <c r="B169" s="87">
        <v>7</v>
      </c>
      <c r="C169" s="157">
        <v>0</v>
      </c>
      <c r="D169" s="109"/>
      <c r="E169" s="109"/>
      <c r="F169" s="109"/>
      <c r="G169" s="158"/>
      <c r="H169" s="109"/>
      <c r="I169" s="156"/>
      <c r="J169" s="109"/>
      <c r="K169" s="156">
        <v>2.6333919400000001</v>
      </c>
      <c r="L169" s="86"/>
      <c r="M169" s="86"/>
      <c r="N169" s="86"/>
      <c r="O169" s="86"/>
      <c r="P169" s="86"/>
      <c r="Q169" s="86"/>
      <c r="R169" s="86"/>
      <c r="S169" s="86"/>
      <c r="T169" s="86"/>
    </row>
    <row r="170" spans="2:20" x14ac:dyDescent="0.2">
      <c r="B170" s="87">
        <v>8</v>
      </c>
      <c r="C170" s="90">
        <v>0</v>
      </c>
      <c r="D170" s="109"/>
      <c r="E170" s="109"/>
      <c r="F170" s="109"/>
      <c r="G170" s="156">
        <v>1.5943061999999999</v>
      </c>
      <c r="H170" s="109"/>
      <c r="I170" s="139"/>
      <c r="J170" s="109"/>
      <c r="K170" s="156">
        <v>0</v>
      </c>
      <c r="L170" s="86"/>
      <c r="M170" s="86"/>
      <c r="N170" s="86"/>
      <c r="O170" s="86"/>
      <c r="P170" s="86"/>
      <c r="Q170" s="86"/>
      <c r="R170" s="86"/>
      <c r="S170" s="86"/>
      <c r="T170" s="86"/>
    </row>
    <row r="172" spans="2:20" x14ac:dyDescent="0.2">
      <c r="B172" s="85" t="s">
        <v>160</v>
      </c>
      <c r="C172" s="85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  <c r="S172" s="86"/>
      <c r="T172" s="86"/>
    </row>
    <row r="173" spans="2:20" x14ac:dyDescent="0.2">
      <c r="B173" s="87"/>
      <c r="C173" s="87">
        <v>0</v>
      </c>
      <c r="D173" s="87">
        <v>1</v>
      </c>
      <c r="E173" s="87">
        <v>2</v>
      </c>
      <c r="F173" s="87">
        <v>3</v>
      </c>
      <c r="G173" s="87">
        <v>4</v>
      </c>
      <c r="H173" s="87">
        <v>5</v>
      </c>
      <c r="I173" s="87">
        <v>6</v>
      </c>
      <c r="J173" s="87">
        <v>7</v>
      </c>
      <c r="K173" s="87">
        <v>8</v>
      </c>
      <c r="L173" s="86"/>
      <c r="M173" s="86"/>
      <c r="N173" s="85" t="s">
        <v>137</v>
      </c>
      <c r="O173" s="86"/>
      <c r="P173" s="86"/>
      <c r="Q173" s="85" t="s">
        <v>120</v>
      </c>
      <c r="R173" s="86"/>
      <c r="S173" s="86"/>
      <c r="T173" s="85" t="s">
        <v>134</v>
      </c>
    </row>
    <row r="174" spans="2:20" x14ac:dyDescent="0.2">
      <c r="B174" s="87">
        <v>0</v>
      </c>
      <c r="C174" s="88">
        <v>0</v>
      </c>
      <c r="D174" s="113"/>
      <c r="E174" s="113"/>
      <c r="F174" s="113"/>
      <c r="G174" s="155">
        <v>0</v>
      </c>
      <c r="H174" s="113"/>
      <c r="I174" s="89">
        <v>0</v>
      </c>
      <c r="J174" s="113"/>
      <c r="K174" s="89">
        <v>0</v>
      </c>
      <c r="L174" s="86"/>
      <c r="M174" s="86"/>
      <c r="N174" s="114" t="s">
        <v>118</v>
      </c>
      <c r="O174" s="115" t="s">
        <v>161</v>
      </c>
      <c r="P174" s="86"/>
      <c r="Q174" s="116" t="s">
        <v>121</v>
      </c>
      <c r="R174" s="117">
        <f>R126+P12</f>
        <v>105</v>
      </c>
      <c r="S174" s="86"/>
      <c r="T174" s="116"/>
    </row>
    <row r="175" spans="2:20" x14ac:dyDescent="0.2">
      <c r="B175" s="87">
        <v>1</v>
      </c>
      <c r="C175" s="121">
        <v>0</v>
      </c>
      <c r="D175" s="109"/>
      <c r="E175" s="109"/>
      <c r="F175" s="127"/>
      <c r="G175" s="109"/>
      <c r="H175" s="109"/>
      <c r="I175" s="109"/>
      <c r="J175" s="109"/>
      <c r="K175" s="109"/>
      <c r="L175" s="86"/>
      <c r="M175" s="86"/>
      <c r="N175" s="124" t="s">
        <v>114</v>
      </c>
      <c r="O175" s="125"/>
      <c r="P175" s="86"/>
      <c r="Q175" s="118" t="s">
        <v>123</v>
      </c>
      <c r="R175" s="119">
        <v>0</v>
      </c>
      <c r="S175" s="86"/>
      <c r="T175" s="120" t="s">
        <v>149</v>
      </c>
    </row>
    <row r="176" spans="2:20" x14ac:dyDescent="0.2">
      <c r="B176" s="87">
        <v>2</v>
      </c>
      <c r="C176" s="121">
        <v>0</v>
      </c>
      <c r="D176" s="109"/>
      <c r="E176" s="109"/>
      <c r="F176" s="109"/>
      <c r="G176" s="109"/>
      <c r="H176" s="109"/>
      <c r="I176" s="109"/>
      <c r="J176" s="109"/>
      <c r="K176" s="109"/>
      <c r="L176" s="86"/>
      <c r="M176" s="86"/>
      <c r="N176" s="120" t="s">
        <v>115</v>
      </c>
      <c r="O176" s="122" t="s">
        <v>135</v>
      </c>
      <c r="P176" s="86"/>
      <c r="Q176" s="118" t="s">
        <v>124</v>
      </c>
      <c r="R176" s="119">
        <f>R128</f>
        <v>80</v>
      </c>
      <c r="S176" s="86"/>
      <c r="T176" s="120" t="s">
        <v>161</v>
      </c>
    </row>
    <row r="177" spans="2:20" x14ac:dyDescent="0.2">
      <c r="B177" s="87">
        <v>3</v>
      </c>
      <c r="C177" s="90">
        <v>0</v>
      </c>
      <c r="D177" s="109"/>
      <c r="E177" s="109"/>
      <c r="F177" s="109"/>
      <c r="G177" s="156">
        <v>0.59485516999999999</v>
      </c>
      <c r="H177" s="109"/>
      <c r="I177" s="91"/>
      <c r="J177" s="109"/>
      <c r="K177" s="156"/>
      <c r="L177" s="86"/>
      <c r="M177" s="86"/>
      <c r="N177" s="120" t="s">
        <v>116</v>
      </c>
      <c r="O177" s="122" t="s">
        <v>135</v>
      </c>
      <c r="P177" s="86"/>
      <c r="Q177" s="86"/>
      <c r="R177" s="86"/>
      <c r="S177" s="86"/>
      <c r="T177" s="123"/>
    </row>
    <row r="178" spans="2:20" x14ac:dyDescent="0.2">
      <c r="B178" s="87">
        <v>4</v>
      </c>
      <c r="C178" s="121"/>
      <c r="D178" s="109"/>
      <c r="E178" s="109"/>
      <c r="F178" s="109"/>
      <c r="G178" s="109"/>
      <c r="H178" s="109"/>
      <c r="I178" s="109"/>
      <c r="J178" s="109"/>
      <c r="K178" s="109"/>
      <c r="L178" s="86"/>
      <c r="M178" s="86"/>
      <c r="N178" s="120" t="s">
        <v>120</v>
      </c>
      <c r="O178" s="122" t="b">
        <v>1</v>
      </c>
      <c r="P178" s="86"/>
      <c r="Q178" s="85" t="s">
        <v>136</v>
      </c>
      <c r="R178" s="86"/>
      <c r="S178" s="86"/>
      <c r="T178" s="86"/>
    </row>
    <row r="179" spans="2:20" x14ac:dyDescent="0.2">
      <c r="B179" s="87">
        <v>5</v>
      </c>
      <c r="C179" s="121"/>
      <c r="D179" s="109"/>
      <c r="E179" s="109"/>
      <c r="F179" s="109"/>
      <c r="G179" s="109"/>
      <c r="H179" s="109"/>
      <c r="I179" s="109"/>
      <c r="J179" s="127"/>
      <c r="K179" s="109"/>
      <c r="L179" s="86"/>
      <c r="M179" s="86"/>
      <c r="N179" s="120" t="s">
        <v>117</v>
      </c>
      <c r="O179" s="99" t="b">
        <f>IF(Q179-R179&lt;=0,TRUE,FALSE)</f>
        <v>1</v>
      </c>
      <c r="P179" s="86"/>
      <c r="Q179" s="116">
        <v>0</v>
      </c>
      <c r="R179" s="115">
        <v>0</v>
      </c>
      <c r="S179" s="86"/>
      <c r="T179" s="86"/>
    </row>
    <row r="180" spans="2:20" x14ac:dyDescent="0.2">
      <c r="B180" s="87">
        <v>6</v>
      </c>
      <c r="C180" s="121"/>
      <c r="D180" s="109"/>
      <c r="E180" s="109"/>
      <c r="F180" s="109"/>
      <c r="G180" s="109"/>
      <c r="H180" s="109"/>
      <c r="I180" s="109"/>
      <c r="J180" s="109"/>
      <c r="K180" s="109"/>
      <c r="L180" s="86"/>
      <c r="M180" s="86"/>
      <c r="N180" s="86"/>
      <c r="O180" s="86"/>
      <c r="P180" s="86"/>
      <c r="Q180" s="86"/>
      <c r="R180" s="86"/>
      <c r="S180" s="86"/>
      <c r="T180" s="86"/>
    </row>
    <row r="181" spans="2:20" x14ac:dyDescent="0.2">
      <c r="B181" s="87">
        <v>7</v>
      </c>
      <c r="C181" s="157">
        <v>0</v>
      </c>
      <c r="D181" s="109"/>
      <c r="E181" s="109"/>
      <c r="F181" s="109"/>
      <c r="G181" s="158"/>
      <c r="H181" s="109"/>
      <c r="I181" s="156"/>
      <c r="J181" s="109"/>
      <c r="K181" s="139"/>
      <c r="L181" s="86"/>
      <c r="M181" s="86"/>
      <c r="N181" s="86"/>
      <c r="O181" s="86"/>
      <c r="P181" s="86"/>
      <c r="Q181" s="86"/>
      <c r="R181" s="86"/>
      <c r="S181" s="86"/>
      <c r="T181" s="86"/>
    </row>
    <row r="182" spans="2:20" x14ac:dyDescent="0.2">
      <c r="B182" s="87">
        <v>8</v>
      </c>
      <c r="C182" s="90">
        <v>0</v>
      </c>
      <c r="D182" s="109"/>
      <c r="E182" s="109"/>
      <c r="F182" s="109"/>
      <c r="G182" s="156">
        <v>1.5943061999999999</v>
      </c>
      <c r="H182" s="109"/>
      <c r="I182" s="158"/>
      <c r="J182" s="109"/>
      <c r="K182" s="156">
        <v>0</v>
      </c>
      <c r="L182" s="86"/>
      <c r="M182" s="86"/>
      <c r="N182" s="86"/>
      <c r="O182" s="86"/>
      <c r="P182" s="86"/>
      <c r="Q182" s="86"/>
      <c r="R182" s="86"/>
      <c r="S182" s="86"/>
      <c r="T182" s="86"/>
    </row>
  </sheetData>
  <mergeCells count="13">
    <mergeCell ref="N163:O163"/>
    <mergeCell ref="N175:O175"/>
    <mergeCell ref="N91:O91"/>
    <mergeCell ref="N103:O103"/>
    <mergeCell ref="N115:O115"/>
    <mergeCell ref="N127:O127"/>
    <mergeCell ref="N139:O139"/>
    <mergeCell ref="N151:O151"/>
    <mergeCell ref="N30:O30"/>
    <mergeCell ref="N42:O42"/>
    <mergeCell ref="N55:O55"/>
    <mergeCell ref="N67:O67"/>
    <mergeCell ref="N79:O79"/>
  </mergeCells>
  <conditionalFormatting sqref="C29:K37">
    <cfRule type="top10" dxfId="12" priority="13" rank="1"/>
  </conditionalFormatting>
  <conditionalFormatting sqref="C41:K49">
    <cfRule type="top10" dxfId="11" priority="12" rank="1"/>
  </conditionalFormatting>
  <conditionalFormatting sqref="C54:K62">
    <cfRule type="top10" dxfId="10" priority="11" rank="1"/>
  </conditionalFormatting>
  <conditionalFormatting sqref="C66:K74">
    <cfRule type="top10" dxfId="9" priority="10" rank="1"/>
  </conditionalFormatting>
  <conditionalFormatting sqref="C78:K86">
    <cfRule type="top10" dxfId="8" priority="9" rank="1"/>
  </conditionalFormatting>
  <conditionalFormatting sqref="C90:K98">
    <cfRule type="top10" dxfId="7" priority="8" rank="1"/>
  </conditionalFormatting>
  <conditionalFormatting sqref="C102:K110">
    <cfRule type="top10" dxfId="6" priority="7" rank="1"/>
  </conditionalFormatting>
  <conditionalFormatting sqref="C114:K122">
    <cfRule type="top10" dxfId="5" priority="6" rank="1"/>
  </conditionalFormatting>
  <conditionalFormatting sqref="C126:K134">
    <cfRule type="top10" dxfId="4" priority="5" rank="1"/>
  </conditionalFormatting>
  <conditionalFormatting sqref="C138:K146">
    <cfRule type="top10" dxfId="3" priority="4" rank="1"/>
  </conditionalFormatting>
  <conditionalFormatting sqref="C150:K158">
    <cfRule type="top10" dxfId="2" priority="3" rank="1"/>
  </conditionalFormatting>
  <conditionalFormatting sqref="C162:K170">
    <cfRule type="top10" dxfId="1" priority="2" rank="1"/>
  </conditionalFormatting>
  <conditionalFormatting sqref="C174:K182">
    <cfRule type="top10" dxfId="0" priority="1" rank="1"/>
  </conditionalFormatting>
  <pageMargins left="0.7" right="0.7" top="0.75" bottom="0.75" header="0.3" footer="0.3"/>
  <pageSetup orientation="portrait" horizontalDpi="0" verticalDpi="0"/>
</worksheet>
</file>

<file path=customUI/customUI14.xml><?xml version="1.0" encoding="utf-8"?>
<customUI xmlns="http://schemas.microsoft.com/office/2009/07/customui" onLoad="tabActivate">
  <ribbon startFromScratch="false">
    <tabs>
      <tab id="VRPSpreadsheetSolver" label="VRP Spreadsheet Solver">
        <group id="customGroup1" autoScale="true">
          <menu id="menu1" label="0. Reset" imageMso="Delete" size="large">
            <button id="customButton1" label="0. Reset the workbook" imageMso="Delete" onAction="ResetWorkbookRibbonCall"/>
          </menu>
        </group>
        <group id="customGroup2" imageMso="SmallIcons">
          <menu id="menu2" label="1. Locations" imageMso="SmallIcons" size="large">
            <button id="customButton2" label="1.1. Setup Locations Worksheet" imageMso="AdpDiagramAddTable" onAction="SetupLocationsWorksheetRibbonCall"/>
            <button id="customButton3" label="1.2. Populate Lat/Lon using addresses" imageMso="WebPagePreview" onAction="PopulateLatitudeAndLongitudeRibbonCall"/>
            <button id="customButton4" label="1.3. Sort locations alphabetically" imageMso="SortUp" onAction="SortLocationsRibbonCall"/>
          </menu>
        </group>
        <group id="customGroup3" imageMso="ObjectEditPoints">
          <menu id="menu3" label="2. Distances" imageMso="ObjectEditPoints" size="large">
            <button id="customButton5" label="2.1. Setup Distances Worksheet" imageMso="AdpDiagramAddTable" onAction="SetupDistancesWorksheetRibbonCall"/>
            <button id="customButton6" label="2.2. Populate Distances Worksheet" imageMso="WebPagePreview" onAction="PopulateDistancesRibbonCall"/>
          </menu>
        </group>
        <group id="customGroup4">
          <menu id="menu4" label="3. Vehicles" imageMso="DiagramPyramidInsertClassic" size="large">
            <button id="customButton7" label="3.1. Setup Vehicles Worksheet" imageMso="AdpDiagramAddTable" onAction="SetupVehiclesWorksheetRibbonCall"/>
            <button id="customButton8" label="3.2. Setup Vehicle Compatibility Worksheet" imageMso="AdpDiagramAddTable" onAction="SetupVehicleCompatibilityWorksheetRibbonCall"/>
          </menu>
        </group>
        <group id="customGroup5">
          <menu id="menu5" label="4. Solution" imageMso="AdpPrimaryKey" size="large">
            <button id="customButton9" label="4. Setup Solution Worksheet" imageMso="AdpDiagramAddTable" onAction="SetupSolutionWorksheetRibbonCall"/>
          </menu>
        </group>
        <group id="customGroup6">
          <menu id="menu6" label="5. Visualization" imageMso="ShowTimeZones" size="large">
            <button id="customButton10" label="5. Setup Visualization Worksheet" imageMso="ShowTimeZones" onAction="SetupVisualizationWorksheetRibbonCall"/>
          </menu>
        </group>
        <group id="customGroup7" imageMso="AnimationStartDropdown">
          <menu id="menu7" label="6. Solver" imageMso="AnimationStartDropdown" size="large">
            <button id="customButton11" label="6.1. Engage VRP Spreadsheet Solver" imageMso="AnimationStartDropdown" onAction="VRP_Solver_ribbon_call"/>
            <button id="customButton12" label="6.2. Feasibility Check" imageMso="AdvancedFind" onAction="FeasibilityCheckDataAndSolutionRibbonCall"/>
            <button id="customButton13" label="6.3. Engage external solver" imageMso="TableIndexes" onAction="external_vrp_solver_ribbon_call"/>
          </menu>
        </group>
        <group id="customGroup8" imageMso="Info">
          <menu id="menu8" label="Info" imageMso="Info" size="large">
            <button id="customButton14" label="Send feedback or ask a question" imageMso="ContactCardSendEmail" onAction="SendFeedbackRibbonCall"/>
            <button id="customButton15" label="Watch the tutorial video on YouTube" imageMso="MovieFromFileInsert" onAction="WatchTutorialRibbonCall"/>
            <button id="customButton16" label="About" imageMso="Info" onAction="AboutRibbonCall"/>
          </menu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VRP Solver Console</vt:lpstr>
      <vt:lpstr>1.Locations</vt:lpstr>
      <vt:lpstr>2.Distances</vt:lpstr>
      <vt:lpstr>3.Vehicles</vt:lpstr>
      <vt:lpstr>3.1.Vehicle Compatibility</vt:lpstr>
      <vt:lpstr>4.Solution</vt:lpstr>
      <vt:lpstr>Matriz de distancias</vt:lpstr>
    </vt:vector>
  </TitlesOfParts>
  <Company>University of Bath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Gunes Erdogan</dc:creator>
  <cp:lastModifiedBy>Camilo Andres Molina Plata</cp:lastModifiedBy>
  <dcterms:created xsi:type="dcterms:W3CDTF">2013-07-17T23:20:08Z</dcterms:created>
  <dcterms:modified xsi:type="dcterms:W3CDTF">2025-10-13T01:27:30Z</dcterms:modified>
</cp:coreProperties>
</file>