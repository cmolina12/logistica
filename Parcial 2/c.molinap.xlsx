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molinap\Documents\Parcial\"/>
    </mc:Choice>
  </mc:AlternateContent>
  <xr:revisionPtr revIDLastSave="0" documentId="13_ncr:1_{5EB4478F-4F1A-491B-924A-E55EDC5D5D78}" xr6:coauthVersionLast="47" xr6:coauthVersionMax="47" xr10:uidLastSave="{00000000-0000-0000-0000-000000000000}"/>
  <bookViews>
    <workbookView xWindow="-120" yWindow="-120" windowWidth="24240" windowHeight="13020" activeTab="1" xr2:uid="{00000000-000D-0000-FFFF-FFFF00000000}"/>
  </bookViews>
  <sheets>
    <sheet name="Datos_punto1" sheetId="8" r:id="rId1"/>
    <sheet name="Respuestas Punto 1" sheetId="3" r:id="rId2"/>
    <sheet name="Datos_Punto2" sheetId="4" r:id="rId3"/>
    <sheet name="Respuestas Punto 2" sheetId="7" r:id="rId4"/>
    <sheet name="C&amp;W" sheetId="9" r:id="rId5"/>
  </sheets>
  <definedNames>
    <definedName name="_xlnm._FilterDatabase" localSheetId="0" hidden="1">Datos_punto1!$A$1:$G$43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42" i="9" l="1"/>
  <c r="T141" i="9"/>
  <c r="R142" i="9"/>
  <c r="R141" i="9"/>
  <c r="H15" i="7"/>
  <c r="F15" i="7"/>
  <c r="Q141" i="9"/>
  <c r="Q142" i="9"/>
  <c r="H13" i="7"/>
  <c r="F13" i="7"/>
  <c r="O126" i="9"/>
  <c r="O111" i="9"/>
  <c r="O96" i="9"/>
  <c r="O81" i="9"/>
  <c r="O66" i="9"/>
  <c r="O51" i="9"/>
  <c r="O36" i="9"/>
  <c r="O21" i="9"/>
  <c r="E27" i="9"/>
  <c r="D24" i="9"/>
  <c r="C21" i="9"/>
  <c r="E21" i="9"/>
  <c r="F21" i="9"/>
  <c r="G21" i="9"/>
  <c r="H21" i="9"/>
  <c r="I21" i="9"/>
  <c r="J21" i="9"/>
  <c r="K21" i="9"/>
  <c r="L21" i="9"/>
  <c r="M21" i="9"/>
  <c r="C22" i="9"/>
  <c r="D22" i="9"/>
  <c r="F22" i="9"/>
  <c r="G22" i="9"/>
  <c r="H22" i="9"/>
  <c r="I22" i="9"/>
  <c r="J22" i="9"/>
  <c r="K22" i="9"/>
  <c r="L22" i="9"/>
  <c r="M22" i="9"/>
  <c r="C23" i="9"/>
  <c r="D23" i="9"/>
  <c r="E23" i="9"/>
  <c r="G23" i="9"/>
  <c r="H23" i="9"/>
  <c r="I23" i="9"/>
  <c r="J23" i="9"/>
  <c r="K23" i="9"/>
  <c r="L23" i="9"/>
  <c r="M23" i="9"/>
  <c r="C24" i="9"/>
  <c r="E24" i="9"/>
  <c r="F24" i="9"/>
  <c r="H24" i="9"/>
  <c r="I24" i="9"/>
  <c r="J24" i="9"/>
  <c r="K24" i="9"/>
  <c r="L24" i="9"/>
  <c r="M24" i="9"/>
  <c r="C25" i="9"/>
  <c r="D25" i="9"/>
  <c r="E25" i="9"/>
  <c r="F25" i="9"/>
  <c r="G25" i="9"/>
  <c r="I25" i="9"/>
  <c r="J25" i="9"/>
  <c r="K25" i="9"/>
  <c r="L25" i="9"/>
  <c r="M25" i="9"/>
  <c r="C26" i="9"/>
  <c r="D26" i="9"/>
  <c r="E26" i="9"/>
  <c r="F26" i="9"/>
  <c r="G26" i="9"/>
  <c r="H26" i="9"/>
  <c r="J26" i="9"/>
  <c r="K26" i="9"/>
  <c r="L26" i="9"/>
  <c r="M26" i="9"/>
  <c r="C27" i="9"/>
  <c r="D27" i="9"/>
  <c r="F27" i="9"/>
  <c r="G27" i="9"/>
  <c r="H27" i="9"/>
  <c r="I27" i="9"/>
  <c r="K27" i="9"/>
  <c r="L27" i="9"/>
  <c r="M27" i="9"/>
  <c r="C28" i="9"/>
  <c r="D28" i="9"/>
  <c r="E28" i="9"/>
  <c r="F28" i="9"/>
  <c r="G28" i="9"/>
  <c r="H28" i="9"/>
  <c r="I28" i="9"/>
  <c r="J28" i="9"/>
  <c r="L28" i="9"/>
  <c r="M28" i="9"/>
  <c r="C29" i="9"/>
  <c r="D29" i="9"/>
  <c r="E29" i="9"/>
  <c r="F29" i="9"/>
  <c r="G29" i="9"/>
  <c r="H29" i="9"/>
  <c r="I29" i="9"/>
  <c r="J29" i="9"/>
  <c r="K29" i="9"/>
  <c r="M29" i="9"/>
  <c r="C30" i="9"/>
  <c r="D30" i="9"/>
  <c r="E30" i="9"/>
  <c r="F30" i="9"/>
  <c r="G30" i="9"/>
  <c r="H30" i="9"/>
  <c r="I30" i="9"/>
  <c r="J30" i="9"/>
  <c r="K30" i="9"/>
  <c r="L30" i="9"/>
  <c r="D20" i="9"/>
  <c r="E20" i="9"/>
  <c r="F20" i="9"/>
  <c r="G20" i="9"/>
  <c r="H20" i="9"/>
  <c r="I20" i="9"/>
  <c r="J20" i="9"/>
  <c r="K20" i="9"/>
  <c r="L20" i="9"/>
  <c r="M20" i="9"/>
  <c r="C20" i="9"/>
</calcChain>
</file>

<file path=xl/sharedStrings.xml><?xml version="1.0" encoding="utf-8"?>
<sst xmlns="http://schemas.openxmlformats.org/spreadsheetml/2006/main" count="242" uniqueCount="78">
  <si>
    <t>origen</t>
  </si>
  <si>
    <t>destino</t>
  </si>
  <si>
    <t>tiempo_horas</t>
  </si>
  <si>
    <t>velocidad_kmh</t>
  </si>
  <si>
    <t>costo_usd</t>
  </si>
  <si>
    <t>capacidad_max_ton</t>
  </si>
  <si>
    <t>tipo_ruta</t>
  </si>
  <si>
    <t>Bogotá</t>
  </si>
  <si>
    <t>Cali</t>
  </si>
  <si>
    <t>carretera</t>
  </si>
  <si>
    <t>Medellín</t>
  </si>
  <si>
    <t>peaje</t>
  </si>
  <si>
    <t>Pasto</t>
  </si>
  <si>
    <t>puente</t>
  </si>
  <si>
    <t>Quito</t>
  </si>
  <si>
    <t>Cartagena</t>
  </si>
  <si>
    <t>Cúcuta</t>
  </si>
  <si>
    <t>Barranquilla</t>
  </si>
  <si>
    <t>Santa Marta</t>
  </si>
  <si>
    <t>Riohacha</t>
  </si>
  <si>
    <t>Bucaramanga</t>
  </si>
  <si>
    <t>túnel</t>
  </si>
  <si>
    <t>Guayaquil</t>
  </si>
  <si>
    <t>Lima</t>
  </si>
  <si>
    <t>Popayán</t>
  </si>
  <si>
    <t>Villavicencio</t>
  </si>
  <si>
    <t>Yopal</t>
  </si>
  <si>
    <t>Arauca</t>
  </si>
  <si>
    <t>Manizales</t>
  </si>
  <si>
    <t>Neiva</t>
  </si>
  <si>
    <t>Pitalito</t>
  </si>
  <si>
    <t>Ipiales</t>
  </si>
  <si>
    <t>Tunja</t>
  </si>
  <si>
    <t>Buenaventura</t>
  </si>
  <si>
    <t>Montería</t>
  </si>
  <si>
    <t>1.1 (0.2 puntos) Crear grafo dirigido</t>
  </si>
  <si>
    <t>1.2 (0.5 puntos) Ruta condiciones de capacidad y trayecto</t>
  </si>
  <si>
    <t>Ruta</t>
  </si>
  <si>
    <t>Costo total ($)</t>
  </si>
  <si>
    <t>Distancia total (km)</t>
  </si>
  <si>
    <t>Tiempo total (horas)</t>
  </si>
  <si>
    <t>1.3 (0.5 puntos) Ruta paso obligatorio</t>
  </si>
  <si>
    <t>Espacio para el pseudocódigo</t>
  </si>
  <si>
    <t> </t>
  </si>
  <si>
    <t>1.4 (1.3 puntos) Pseudocódigo detallado</t>
  </si>
  <si>
    <t>inf</t>
  </si>
  <si>
    <t>2.2 (0.5 puntos) Rutas heurística</t>
  </si>
  <si>
    <t>2.1 (0.5 puntos) Rutas VRP</t>
  </si>
  <si>
    <t>2.3 (1.3 puntos) Pseudocódigo detallado</t>
  </si>
  <si>
    <t>2.4 (0.2 puntos) Comparación</t>
  </si>
  <si>
    <t>Ahorro distancia</t>
  </si>
  <si>
    <t>Inserte imagen del código que crea el grafo</t>
  </si>
  <si>
    <t>Bogotá -&gt; Cali -&gt; Quito</t>
  </si>
  <si>
    <t>1770 km</t>
  </si>
  <si>
    <t>28 horas</t>
  </si>
  <si>
    <t>['Medellín', 'Manizales', 'Cali', 'Pasto', 'Quito', 'Guayaquil']</t>
  </si>
  <si>
    <t>0-10-5-8-7-0</t>
  </si>
  <si>
    <t>0-3-4-2-1-9-6-0</t>
  </si>
  <si>
    <t>Matriz de distancias</t>
  </si>
  <si>
    <t>Matriz de ahorros</t>
  </si>
  <si>
    <t>RUTA 1</t>
  </si>
  <si>
    <t>0-2-4-0</t>
  </si>
  <si>
    <t>0-1-2-4-0</t>
  </si>
  <si>
    <t>itERACION 2</t>
  </si>
  <si>
    <t>0-9-1-2-4-0</t>
  </si>
  <si>
    <t>0-6-9-1-2-4-0</t>
  </si>
  <si>
    <t>0-6-9-1-2-4-3-0</t>
  </si>
  <si>
    <t>0-5-8-0</t>
  </si>
  <si>
    <t>0-5-8-7-0</t>
  </si>
  <si>
    <t>ruta</t>
  </si>
  <si>
    <t>distancia</t>
  </si>
  <si>
    <t>tiempo</t>
  </si>
  <si>
    <t>es decir paso 1 hora y 7 min</t>
  </si>
  <si>
    <t>es decir psao 57 mins</t>
  </si>
  <si>
    <t>base</t>
  </si>
  <si>
    <t>tiempo total</t>
  </si>
  <si>
    <t>En terminos de la comparacion, vemos que la primera ruta (0-10-5-8-7-0) fue identica tanto en vrp como en clarke and wright, con las mismas distancias y tiempos totales. Sin embargo, vemos que en vrp la segunda ruta obtuvimos 0-3-4-2-1-9-6-0 mientras que en clark y wright obtuvimos 0-6-9-1-2-4-3-0, l amisma ruta pero al revez. ademas, vemos que son equivalentes porque obtuvimos la misma distancia y tiempo total en horas. Por lo tanto, podemos concluir que ambas soluciones (tanto de vrp como de clark and wright) son las validas y optimas, en este caso por tema de como se manejan las prioridades de indices parece que en vrp obtuvimos una respuesta en un orden distinto pero precisamente porque las rutas son equivalentes en este caso.</t>
  </si>
  <si>
    <t>41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</si>
</sst>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6" formatCode="[$-F400]h:mm:ss\ AM/PM"/>
  </numFmts>
  <fonts count="8">
    <font>
      <sz val="11"/>
      <color theme="1"/>
      <name val="Calibri"/>
      <family val="2"/>
      <scheme val="minor"/>
    </font>
    <font>
      <b/>
      <sz val="11"/>
      <name val="Calibri"/>
      <family val="2"/>
    </font>
    <font>
      <sz val="12"/>
      <color theme="1"/>
      <name val="Calibri Light"/>
      <family val="2"/>
    </font>
    <font>
      <b/>
      <sz val="12"/>
      <color theme="1"/>
      <name val="Calibri Light"/>
      <family val="2"/>
    </font>
    <font>
      <i/>
      <sz val="12"/>
      <color theme="1"/>
      <name val="Calibri Light"/>
      <family val="2"/>
    </font>
    <font>
      <sz val="11"/>
      <color rgb="FF000000"/>
      <name val="Aptos Narrow"/>
      <family val="2"/>
    </font>
    <font>
      <b/>
      <sz val="11"/>
      <color rgb="FF000000"/>
      <name val="Aptos Narrow"/>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2" fillId="0" borderId="1" xfId="0" applyFont="1" applyBorder="1"/>
    <xf numFmtId="0" fontId="2" fillId="2" borderId="1" xfId="0" applyFont="1" applyFill="1" applyBorder="1"/>
    <xf numFmtId="0" fontId="4" fillId="0" borderId="0" xfId="0" applyFont="1"/>
    <xf numFmtId="0" fontId="5"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5" fillId="0" borderId="4" xfId="0" applyFont="1" applyBorder="1" applyAlignment="1">
      <alignment horizontal="center"/>
    </xf>
    <xf numFmtId="0" fontId="4" fillId="2" borderId="1"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0" xfId="0" applyFont="1" applyFill="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4" xfId="0" applyFont="1" applyFill="1" applyBorder="1" applyAlignment="1">
      <alignment horizontal="center" vertical="center"/>
    </xf>
    <xf numFmtId="6" fontId="2" fillId="2" borderId="1" xfId="0" applyNumberFormat="1" applyFont="1" applyFill="1" applyBorder="1"/>
    <xf numFmtId="0" fontId="4" fillId="2" borderId="1" xfId="0" applyFont="1" applyFill="1" applyBorder="1" applyAlignment="1">
      <alignment horizontal="center" vertical="center" wrapText="1"/>
    </xf>
    <xf numFmtId="20" fontId="2" fillId="2" borderId="1" xfId="0" applyNumberFormat="1" applyFont="1" applyFill="1" applyBorder="1"/>
    <xf numFmtId="0" fontId="7" fillId="0" borderId="0" xfId="0" applyFont="1"/>
    <xf numFmtId="0" fontId="0" fillId="0" borderId="1" xfId="0" applyBorder="1" applyAlignment="1">
      <alignment horizontal="center"/>
    </xf>
    <xf numFmtId="0" fontId="0" fillId="0" borderId="8" xfId="0" applyFill="1" applyBorder="1" applyAlignment="1">
      <alignment horizontal="center"/>
    </xf>
    <xf numFmtId="166" fontId="0" fillId="0" borderId="0" xfId="0" applyNumberFormat="1"/>
  </cellXfs>
  <cellStyles count="1">
    <cellStyle name="Normal" xfId="0" builtinId="0"/>
  </cellStyles>
  <dxfs count="36">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92D050"/>
        </patternFill>
      </fill>
    </dxf>
    <dxf>
      <fill>
        <patternFill>
          <bgColor rgb="FFC00000"/>
        </patternFill>
      </fill>
    </dxf>
    <dxf>
      <fill>
        <patternFill>
          <bgColor rgb="FF92D050"/>
        </patternFill>
      </fill>
    </dxf>
    <dxf>
      <fill>
        <patternFill>
          <bgColor rgb="FFC0000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92D050"/>
        </patternFill>
      </fill>
    </dxf>
    <dxf>
      <fill>
        <patternFill>
          <bgColor rgb="FFC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686686</xdr:colOff>
      <xdr:row>3</xdr:row>
      <xdr:rowOff>168489</xdr:rowOff>
    </xdr:from>
    <xdr:to>
      <xdr:col>4</xdr:col>
      <xdr:colOff>719913</xdr:colOff>
      <xdr:row>13</xdr:row>
      <xdr:rowOff>79232</xdr:rowOff>
    </xdr:to>
    <xdr:pic>
      <xdr:nvPicPr>
        <xdr:cNvPr id="2" name="Imagen 1">
          <a:extLst>
            <a:ext uri="{FF2B5EF4-FFF2-40B4-BE49-F238E27FC236}">
              <a16:creationId xmlns:a16="http://schemas.microsoft.com/office/drawing/2014/main" id="{A7FACD06-B4B0-4857-A3CC-8072DC816143}"/>
            </a:ext>
          </a:extLst>
        </xdr:cNvPr>
        <xdr:cNvPicPr>
          <a:picLocks noChangeAspect="1"/>
        </xdr:cNvPicPr>
      </xdr:nvPicPr>
      <xdr:blipFill>
        <a:blip xmlns:r="http://schemas.openxmlformats.org/officeDocument/2006/relationships" r:embed="rId1"/>
        <a:stretch>
          <a:fillRect/>
        </a:stretch>
      </xdr:blipFill>
      <xdr:spPr>
        <a:xfrm>
          <a:off x="1450901" y="766570"/>
          <a:ext cx="2757820" cy="1904348"/>
        </a:xfrm>
        <a:prstGeom prst="rect">
          <a:avLst/>
        </a:prstGeom>
      </xdr:spPr>
    </xdr:pic>
    <xdr:clientData/>
  </xdr:twoCellAnchor>
  <xdr:twoCellAnchor editAs="oneCell">
    <xdr:from>
      <xdr:col>5</xdr:col>
      <xdr:colOff>321193</xdr:colOff>
      <xdr:row>2</xdr:row>
      <xdr:rowOff>111607</xdr:rowOff>
    </xdr:from>
    <xdr:to>
      <xdr:col>8</xdr:col>
      <xdr:colOff>49158</xdr:colOff>
      <xdr:row>14</xdr:row>
      <xdr:rowOff>158918</xdr:rowOff>
    </xdr:to>
    <xdr:pic>
      <xdr:nvPicPr>
        <xdr:cNvPr id="3" name="Imagen 2">
          <a:extLst>
            <a:ext uri="{FF2B5EF4-FFF2-40B4-BE49-F238E27FC236}">
              <a16:creationId xmlns:a16="http://schemas.microsoft.com/office/drawing/2014/main" id="{78C8F38B-DF34-4666-82D9-477DC0648094}"/>
            </a:ext>
          </a:extLst>
        </xdr:cNvPr>
        <xdr:cNvPicPr>
          <a:picLocks noChangeAspect="1"/>
        </xdr:cNvPicPr>
      </xdr:nvPicPr>
      <xdr:blipFill>
        <a:blip xmlns:r="http://schemas.openxmlformats.org/officeDocument/2006/relationships" r:embed="rId2"/>
        <a:stretch>
          <a:fillRect/>
        </a:stretch>
      </xdr:blipFill>
      <xdr:spPr>
        <a:xfrm>
          <a:off x="5105844" y="510328"/>
          <a:ext cx="4933488" cy="2439637"/>
        </a:xfrm>
        <a:prstGeom prst="rect">
          <a:avLst/>
        </a:prstGeom>
      </xdr:spPr>
    </xdr:pic>
    <xdr:clientData/>
  </xdr:twoCellAnchor>
  <xdr:twoCellAnchor editAs="oneCell">
    <xdr:from>
      <xdr:col>1</xdr:col>
      <xdr:colOff>0</xdr:colOff>
      <xdr:row>35</xdr:row>
      <xdr:rowOff>0</xdr:rowOff>
    </xdr:from>
    <xdr:to>
      <xdr:col>10</xdr:col>
      <xdr:colOff>99680</xdr:colOff>
      <xdr:row>71</xdr:row>
      <xdr:rowOff>62870</xdr:rowOff>
    </xdr:to>
    <xdr:pic>
      <xdr:nvPicPr>
        <xdr:cNvPr id="4" name="Imagen 3">
          <a:extLst>
            <a:ext uri="{FF2B5EF4-FFF2-40B4-BE49-F238E27FC236}">
              <a16:creationId xmlns:a16="http://schemas.microsoft.com/office/drawing/2014/main" id="{3B8B8D02-AF55-4C72-80CC-BF40F9CC5CF9}"/>
            </a:ext>
          </a:extLst>
        </xdr:cNvPr>
        <xdr:cNvPicPr>
          <a:picLocks noChangeAspect="1"/>
        </xdr:cNvPicPr>
      </xdr:nvPicPr>
      <xdr:blipFill>
        <a:blip xmlns:r="http://schemas.openxmlformats.org/officeDocument/2006/relationships" r:embed="rId3"/>
        <a:stretch>
          <a:fillRect/>
        </a:stretch>
      </xdr:blipFill>
      <xdr:spPr>
        <a:xfrm>
          <a:off x="764215" y="6977616"/>
          <a:ext cx="10854070" cy="72398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523340</xdr:colOff>
      <xdr:row>18</xdr:row>
      <xdr:rowOff>141811</xdr:rowOff>
    </xdr:from>
    <xdr:to>
      <xdr:col>8</xdr:col>
      <xdr:colOff>103909</xdr:colOff>
      <xdr:row>31</xdr:row>
      <xdr:rowOff>82038</xdr:rowOff>
    </xdr:to>
    <xdr:pic>
      <xdr:nvPicPr>
        <xdr:cNvPr id="3" name="Imagen 2">
          <a:extLst>
            <a:ext uri="{FF2B5EF4-FFF2-40B4-BE49-F238E27FC236}">
              <a16:creationId xmlns:a16="http://schemas.microsoft.com/office/drawing/2014/main" id="{D085B439-A995-45DE-BBE7-D57061B96D52}"/>
            </a:ext>
          </a:extLst>
        </xdr:cNvPr>
        <xdr:cNvPicPr>
          <a:picLocks noChangeAspect="1"/>
        </xdr:cNvPicPr>
      </xdr:nvPicPr>
      <xdr:blipFill>
        <a:blip xmlns:r="http://schemas.openxmlformats.org/officeDocument/2006/relationships" r:embed="rId1"/>
        <a:stretch>
          <a:fillRect/>
        </a:stretch>
      </xdr:blipFill>
      <xdr:spPr>
        <a:xfrm>
          <a:off x="2809340" y="3726675"/>
          <a:ext cx="7096660" cy="25292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5CF1-4D03-4973-88B5-361C80E44984}">
  <dimension ref="A1:G43"/>
  <sheetViews>
    <sheetView zoomScale="96" zoomScaleNormal="200" workbookViewId="0">
      <selection activeCell="G16" sqref="G16"/>
    </sheetView>
  </sheetViews>
  <sheetFormatPr baseColWidth="10" defaultColWidth="8.7109375" defaultRowHeight="15"/>
  <cols>
    <col min="1" max="2" width="12.5703125" bestFit="1" customWidth="1"/>
    <col min="3" max="3" width="12.28515625" customWidth="1"/>
    <col min="4" max="4" width="14.5703125" customWidth="1"/>
    <col min="5" max="5" width="13" customWidth="1"/>
    <col min="6" max="6" width="23.28515625" customWidth="1"/>
  </cols>
  <sheetData>
    <row r="1" spans="1:7">
      <c r="A1" s="1" t="s">
        <v>0</v>
      </c>
      <c r="B1" s="1" t="s">
        <v>1</v>
      </c>
      <c r="C1" s="1" t="s">
        <v>2</v>
      </c>
      <c r="D1" s="1" t="s">
        <v>3</v>
      </c>
      <c r="E1" s="1" t="s">
        <v>4</v>
      </c>
      <c r="F1" s="1" t="s">
        <v>5</v>
      </c>
      <c r="G1" s="1" t="s">
        <v>6</v>
      </c>
    </row>
    <row r="2" spans="1:7">
      <c r="A2" t="s">
        <v>7</v>
      </c>
      <c r="B2" t="s">
        <v>8</v>
      </c>
      <c r="C2">
        <v>10</v>
      </c>
      <c r="D2">
        <v>60</v>
      </c>
      <c r="E2">
        <v>500</v>
      </c>
      <c r="F2">
        <v>30</v>
      </c>
      <c r="G2" t="s">
        <v>9</v>
      </c>
    </row>
    <row r="3" spans="1:7">
      <c r="A3" t="s">
        <v>7</v>
      </c>
      <c r="B3" t="s">
        <v>10</v>
      </c>
      <c r="C3">
        <v>8</v>
      </c>
      <c r="D3">
        <v>70</v>
      </c>
      <c r="E3">
        <v>450</v>
      </c>
      <c r="F3">
        <v>19</v>
      </c>
      <c r="G3" t="s">
        <v>11</v>
      </c>
    </row>
    <row r="4" spans="1:7">
      <c r="A4" t="s">
        <v>7</v>
      </c>
      <c r="B4" t="s">
        <v>16</v>
      </c>
      <c r="C4">
        <v>15</v>
      </c>
      <c r="D4">
        <v>55</v>
      </c>
      <c r="E4">
        <v>700</v>
      </c>
      <c r="F4">
        <v>35</v>
      </c>
      <c r="G4" t="s">
        <v>13</v>
      </c>
    </row>
    <row r="5" spans="1:7">
      <c r="A5" t="s">
        <v>7</v>
      </c>
      <c r="B5" t="s">
        <v>12</v>
      </c>
      <c r="C5">
        <v>15</v>
      </c>
      <c r="D5">
        <v>55</v>
      </c>
      <c r="E5">
        <v>700</v>
      </c>
      <c r="F5">
        <v>20</v>
      </c>
      <c r="G5" t="s">
        <v>13</v>
      </c>
    </row>
    <row r="6" spans="1:7">
      <c r="A6" t="s">
        <v>8</v>
      </c>
      <c r="B6" t="s">
        <v>14</v>
      </c>
      <c r="C6">
        <v>18</v>
      </c>
      <c r="D6">
        <v>65</v>
      </c>
      <c r="E6">
        <v>900</v>
      </c>
      <c r="F6">
        <v>22</v>
      </c>
      <c r="G6" t="s">
        <v>9</v>
      </c>
    </row>
    <row r="7" spans="1:7">
      <c r="A7" t="s">
        <v>10</v>
      </c>
      <c r="B7" t="s">
        <v>12</v>
      </c>
      <c r="C7">
        <v>6</v>
      </c>
      <c r="D7">
        <v>60</v>
      </c>
      <c r="E7">
        <v>300</v>
      </c>
      <c r="F7">
        <v>18</v>
      </c>
      <c r="G7" t="s">
        <v>11</v>
      </c>
    </row>
    <row r="8" spans="1:7">
      <c r="A8" t="s">
        <v>10</v>
      </c>
      <c r="B8" t="s">
        <v>14</v>
      </c>
      <c r="C8">
        <v>9</v>
      </c>
      <c r="D8">
        <v>40</v>
      </c>
      <c r="E8">
        <v>1000</v>
      </c>
      <c r="F8">
        <v>20</v>
      </c>
      <c r="G8" t="s">
        <v>13</v>
      </c>
    </row>
    <row r="9" spans="1:7">
      <c r="A9" t="s">
        <v>10</v>
      </c>
      <c r="B9" t="s">
        <v>15</v>
      </c>
      <c r="C9">
        <v>12</v>
      </c>
      <c r="D9">
        <v>70</v>
      </c>
      <c r="E9">
        <v>800</v>
      </c>
      <c r="F9">
        <v>28</v>
      </c>
      <c r="G9" t="s">
        <v>9</v>
      </c>
    </row>
    <row r="10" spans="1:7">
      <c r="A10" t="s">
        <v>10</v>
      </c>
      <c r="B10" t="s">
        <v>16</v>
      </c>
      <c r="C10">
        <v>14</v>
      </c>
      <c r="D10">
        <v>65</v>
      </c>
      <c r="E10">
        <v>850</v>
      </c>
      <c r="F10">
        <v>20</v>
      </c>
      <c r="G10" t="s">
        <v>13</v>
      </c>
    </row>
    <row r="11" spans="1:7">
      <c r="A11" t="s">
        <v>15</v>
      </c>
      <c r="B11" t="s">
        <v>17</v>
      </c>
      <c r="C11">
        <v>2</v>
      </c>
      <c r="D11">
        <v>80</v>
      </c>
      <c r="E11">
        <v>100</v>
      </c>
      <c r="F11">
        <v>35</v>
      </c>
      <c r="G11" t="s">
        <v>9</v>
      </c>
    </row>
    <row r="12" spans="1:7">
      <c r="A12" t="s">
        <v>17</v>
      </c>
      <c r="B12" t="s">
        <v>18</v>
      </c>
      <c r="C12">
        <v>3</v>
      </c>
      <c r="D12">
        <v>75</v>
      </c>
      <c r="E12">
        <v>120</v>
      </c>
      <c r="F12">
        <v>35</v>
      </c>
      <c r="G12" t="s">
        <v>11</v>
      </c>
    </row>
    <row r="13" spans="1:7">
      <c r="A13" t="s">
        <v>18</v>
      </c>
      <c r="B13" t="s">
        <v>19</v>
      </c>
      <c r="C13">
        <v>5</v>
      </c>
      <c r="D13">
        <v>70</v>
      </c>
      <c r="E13">
        <v>200</v>
      </c>
      <c r="F13">
        <v>25</v>
      </c>
      <c r="G13" t="s">
        <v>9</v>
      </c>
    </row>
    <row r="14" spans="1:7">
      <c r="A14" t="s">
        <v>16</v>
      </c>
      <c r="B14" t="s">
        <v>20</v>
      </c>
      <c r="C14">
        <v>4</v>
      </c>
      <c r="D14">
        <v>60</v>
      </c>
      <c r="E14">
        <v>150</v>
      </c>
      <c r="F14">
        <v>45</v>
      </c>
      <c r="G14" t="s">
        <v>21</v>
      </c>
    </row>
    <row r="15" spans="1:7">
      <c r="A15" t="s">
        <v>20</v>
      </c>
      <c r="B15" t="s">
        <v>7</v>
      </c>
      <c r="C15">
        <v>10</v>
      </c>
      <c r="D15">
        <v>65</v>
      </c>
      <c r="E15">
        <v>600</v>
      </c>
      <c r="F15">
        <v>22</v>
      </c>
      <c r="G15" t="s">
        <v>9</v>
      </c>
    </row>
    <row r="16" spans="1:7">
      <c r="A16" t="s">
        <v>12</v>
      </c>
      <c r="B16" t="s">
        <v>14</v>
      </c>
      <c r="C16">
        <v>6</v>
      </c>
      <c r="D16">
        <v>70</v>
      </c>
      <c r="E16">
        <v>400</v>
      </c>
      <c r="F16">
        <v>18</v>
      </c>
      <c r="G16" t="s">
        <v>11</v>
      </c>
    </row>
    <row r="17" spans="1:7">
      <c r="A17" t="s">
        <v>14</v>
      </c>
      <c r="B17" t="s">
        <v>22</v>
      </c>
      <c r="C17">
        <v>8</v>
      </c>
      <c r="D17">
        <v>80</v>
      </c>
      <c r="E17">
        <v>700</v>
      </c>
      <c r="F17">
        <v>25</v>
      </c>
      <c r="G17" t="s">
        <v>13</v>
      </c>
    </row>
    <row r="18" spans="1:7">
      <c r="A18" t="s">
        <v>14</v>
      </c>
      <c r="B18" t="s">
        <v>23</v>
      </c>
      <c r="C18">
        <v>20</v>
      </c>
      <c r="D18">
        <v>75</v>
      </c>
      <c r="E18">
        <v>1500</v>
      </c>
      <c r="F18">
        <v>20</v>
      </c>
      <c r="G18" t="s">
        <v>9</v>
      </c>
    </row>
    <row r="19" spans="1:7">
      <c r="A19" t="s">
        <v>22</v>
      </c>
      <c r="B19" t="s">
        <v>23</v>
      </c>
      <c r="C19">
        <v>16</v>
      </c>
      <c r="D19">
        <v>80</v>
      </c>
      <c r="E19">
        <v>1400</v>
      </c>
      <c r="F19">
        <v>25</v>
      </c>
      <c r="G19" t="s">
        <v>9</v>
      </c>
    </row>
    <row r="20" spans="1:7">
      <c r="A20" t="s">
        <v>8</v>
      </c>
      <c r="B20" t="s">
        <v>12</v>
      </c>
      <c r="C20">
        <v>7</v>
      </c>
      <c r="D20">
        <v>60</v>
      </c>
      <c r="E20">
        <v>350</v>
      </c>
      <c r="F20">
        <v>18</v>
      </c>
      <c r="G20" t="s">
        <v>13</v>
      </c>
    </row>
    <row r="21" spans="1:7">
      <c r="A21" t="s">
        <v>8</v>
      </c>
      <c r="B21" t="s">
        <v>24</v>
      </c>
      <c r="C21">
        <v>4</v>
      </c>
      <c r="D21">
        <v>70</v>
      </c>
      <c r="E21">
        <v>200</v>
      </c>
      <c r="F21">
        <v>15</v>
      </c>
      <c r="G21" t="s">
        <v>9</v>
      </c>
    </row>
    <row r="22" spans="1:7">
      <c r="A22" t="s">
        <v>24</v>
      </c>
      <c r="B22" t="s">
        <v>12</v>
      </c>
      <c r="C22">
        <v>5</v>
      </c>
      <c r="D22">
        <v>65</v>
      </c>
      <c r="E22">
        <v>220</v>
      </c>
      <c r="F22">
        <v>15</v>
      </c>
      <c r="G22" t="s">
        <v>11</v>
      </c>
    </row>
    <row r="23" spans="1:7">
      <c r="A23" t="s">
        <v>24</v>
      </c>
      <c r="B23" t="s">
        <v>14</v>
      </c>
      <c r="C23">
        <v>12</v>
      </c>
      <c r="D23">
        <v>60</v>
      </c>
      <c r="E23">
        <v>600</v>
      </c>
      <c r="F23">
        <v>20</v>
      </c>
      <c r="G23" t="s">
        <v>9</v>
      </c>
    </row>
    <row r="24" spans="1:7">
      <c r="A24" t="s">
        <v>7</v>
      </c>
      <c r="B24" t="s">
        <v>25</v>
      </c>
      <c r="C24">
        <v>4</v>
      </c>
      <c r="D24">
        <v>65</v>
      </c>
      <c r="E24">
        <v>250</v>
      </c>
      <c r="F24">
        <v>18</v>
      </c>
      <c r="G24" t="s">
        <v>21</v>
      </c>
    </row>
    <row r="25" spans="1:7">
      <c r="A25" t="s">
        <v>25</v>
      </c>
      <c r="B25" t="s">
        <v>26</v>
      </c>
      <c r="C25">
        <v>5</v>
      </c>
      <c r="D25">
        <v>70</v>
      </c>
      <c r="E25">
        <v>270</v>
      </c>
      <c r="F25">
        <v>20</v>
      </c>
      <c r="G25" t="s">
        <v>9</v>
      </c>
    </row>
    <row r="26" spans="1:7">
      <c r="A26" t="s">
        <v>26</v>
      </c>
      <c r="B26" t="s">
        <v>27</v>
      </c>
      <c r="C26">
        <v>7</v>
      </c>
      <c r="D26">
        <v>65</v>
      </c>
      <c r="E26">
        <v>350</v>
      </c>
      <c r="F26">
        <v>20</v>
      </c>
      <c r="G26" t="s">
        <v>13</v>
      </c>
    </row>
    <row r="27" spans="1:7">
      <c r="A27" t="s">
        <v>27</v>
      </c>
      <c r="B27" t="s">
        <v>16</v>
      </c>
      <c r="C27">
        <v>10</v>
      </c>
      <c r="D27">
        <v>60</v>
      </c>
      <c r="E27">
        <v>500</v>
      </c>
      <c r="F27">
        <v>18</v>
      </c>
      <c r="G27" t="s">
        <v>9</v>
      </c>
    </row>
    <row r="28" spans="1:7">
      <c r="A28" t="s">
        <v>28</v>
      </c>
      <c r="B28" t="s">
        <v>16</v>
      </c>
      <c r="C28">
        <v>5</v>
      </c>
      <c r="D28">
        <v>40</v>
      </c>
      <c r="E28">
        <v>200</v>
      </c>
      <c r="F28">
        <v>15</v>
      </c>
      <c r="G28" t="s">
        <v>11</v>
      </c>
    </row>
    <row r="29" spans="1:7">
      <c r="A29" t="s">
        <v>10</v>
      </c>
      <c r="B29" t="s">
        <v>28</v>
      </c>
      <c r="C29">
        <v>15</v>
      </c>
      <c r="D29">
        <v>40</v>
      </c>
      <c r="E29">
        <v>150</v>
      </c>
      <c r="F29">
        <v>18</v>
      </c>
      <c r="G29" t="s">
        <v>9</v>
      </c>
    </row>
    <row r="30" spans="1:7">
      <c r="A30" t="s">
        <v>28</v>
      </c>
      <c r="B30" t="s">
        <v>8</v>
      </c>
      <c r="C30">
        <v>5</v>
      </c>
      <c r="D30">
        <v>70</v>
      </c>
      <c r="E30">
        <v>250</v>
      </c>
      <c r="F30">
        <v>18</v>
      </c>
      <c r="G30" t="s">
        <v>11</v>
      </c>
    </row>
    <row r="31" spans="1:7">
      <c r="A31" t="s">
        <v>28</v>
      </c>
      <c r="B31" t="s">
        <v>7</v>
      </c>
      <c r="C31">
        <v>7</v>
      </c>
      <c r="D31">
        <v>65</v>
      </c>
      <c r="E31">
        <v>350</v>
      </c>
      <c r="F31">
        <v>18</v>
      </c>
      <c r="G31" t="s">
        <v>9</v>
      </c>
    </row>
    <row r="32" spans="1:7">
      <c r="A32" t="s">
        <v>7</v>
      </c>
      <c r="B32" t="s">
        <v>29</v>
      </c>
      <c r="C32">
        <v>6</v>
      </c>
      <c r="D32">
        <v>70</v>
      </c>
      <c r="E32">
        <v>280</v>
      </c>
      <c r="F32">
        <v>18</v>
      </c>
      <c r="G32" t="s">
        <v>9</v>
      </c>
    </row>
    <row r="33" spans="1:7">
      <c r="A33" t="s">
        <v>29</v>
      </c>
      <c r="B33" t="s">
        <v>30</v>
      </c>
      <c r="C33">
        <v>4</v>
      </c>
      <c r="D33">
        <v>65</v>
      </c>
      <c r="E33">
        <v>180</v>
      </c>
      <c r="F33">
        <v>15</v>
      </c>
      <c r="G33" t="s">
        <v>13</v>
      </c>
    </row>
    <row r="34" spans="1:7">
      <c r="A34" t="s">
        <v>30</v>
      </c>
      <c r="B34" t="s">
        <v>12</v>
      </c>
      <c r="C34">
        <v>8</v>
      </c>
      <c r="D34">
        <v>70</v>
      </c>
      <c r="E34">
        <v>450</v>
      </c>
      <c r="F34">
        <v>15</v>
      </c>
      <c r="G34" t="s">
        <v>9</v>
      </c>
    </row>
    <row r="35" spans="1:7">
      <c r="A35" t="s">
        <v>12</v>
      </c>
      <c r="B35" t="s">
        <v>31</v>
      </c>
      <c r="C35">
        <v>2</v>
      </c>
      <c r="D35">
        <v>60</v>
      </c>
      <c r="E35">
        <v>90</v>
      </c>
      <c r="F35">
        <v>10</v>
      </c>
      <c r="G35" t="s">
        <v>9</v>
      </c>
    </row>
    <row r="36" spans="1:7">
      <c r="A36" t="s">
        <v>31</v>
      </c>
      <c r="B36" t="s">
        <v>14</v>
      </c>
      <c r="C36">
        <v>3</v>
      </c>
      <c r="D36">
        <v>70</v>
      </c>
      <c r="E36">
        <v>130</v>
      </c>
      <c r="F36">
        <v>10</v>
      </c>
      <c r="G36" t="s">
        <v>9</v>
      </c>
    </row>
    <row r="37" spans="1:7">
      <c r="A37" t="s">
        <v>7</v>
      </c>
      <c r="B37" t="s">
        <v>32</v>
      </c>
      <c r="C37">
        <v>3</v>
      </c>
      <c r="D37">
        <v>65</v>
      </c>
      <c r="E37">
        <v>140</v>
      </c>
      <c r="F37">
        <v>15</v>
      </c>
      <c r="G37" t="s">
        <v>9</v>
      </c>
    </row>
    <row r="38" spans="1:7">
      <c r="A38" t="s">
        <v>32</v>
      </c>
      <c r="B38" t="s">
        <v>20</v>
      </c>
      <c r="C38">
        <v>6</v>
      </c>
      <c r="D38">
        <v>70</v>
      </c>
      <c r="E38">
        <v>300</v>
      </c>
      <c r="F38">
        <v>15</v>
      </c>
      <c r="G38" t="s">
        <v>13</v>
      </c>
    </row>
    <row r="39" spans="1:7">
      <c r="A39" t="s">
        <v>8</v>
      </c>
      <c r="B39" t="s">
        <v>33</v>
      </c>
      <c r="C39">
        <v>3</v>
      </c>
      <c r="D39">
        <v>60</v>
      </c>
      <c r="E39">
        <v>160</v>
      </c>
      <c r="F39">
        <v>18</v>
      </c>
      <c r="G39" t="s">
        <v>9</v>
      </c>
    </row>
    <row r="40" spans="1:7">
      <c r="A40" t="s">
        <v>33</v>
      </c>
      <c r="B40" t="s">
        <v>22</v>
      </c>
      <c r="C40">
        <v>14</v>
      </c>
      <c r="D40">
        <v>70</v>
      </c>
      <c r="E40">
        <v>1000</v>
      </c>
      <c r="F40">
        <v>20</v>
      </c>
      <c r="G40" t="s">
        <v>13</v>
      </c>
    </row>
    <row r="41" spans="1:7">
      <c r="A41" t="s">
        <v>10</v>
      </c>
      <c r="B41" t="s">
        <v>34</v>
      </c>
      <c r="C41">
        <v>7</v>
      </c>
      <c r="D41">
        <v>70</v>
      </c>
      <c r="E41">
        <v>400</v>
      </c>
      <c r="F41">
        <v>20</v>
      </c>
      <c r="G41" t="s">
        <v>9</v>
      </c>
    </row>
    <row r="42" spans="1:7">
      <c r="A42" t="s">
        <v>34</v>
      </c>
      <c r="B42" t="s">
        <v>15</v>
      </c>
      <c r="C42">
        <v>6</v>
      </c>
      <c r="D42">
        <v>75</v>
      </c>
      <c r="E42">
        <v>380</v>
      </c>
      <c r="F42">
        <v>20</v>
      </c>
      <c r="G42" t="s">
        <v>11</v>
      </c>
    </row>
    <row r="43" spans="1:7">
      <c r="A43" t="s">
        <v>15</v>
      </c>
      <c r="B43" t="s">
        <v>7</v>
      </c>
      <c r="C43">
        <v>14</v>
      </c>
      <c r="D43">
        <v>70</v>
      </c>
      <c r="E43">
        <v>1000</v>
      </c>
      <c r="F43">
        <v>25</v>
      </c>
      <c r="G4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B512-5CCE-4115-9DBC-3E5496D725DA}">
  <dimension ref="B2:J47"/>
  <sheetViews>
    <sheetView showGridLines="0" tabSelected="1" topLeftCell="A40" zoomScale="86" zoomScaleNormal="86" workbookViewId="0">
      <selection activeCell="F29" sqref="F29"/>
    </sheetView>
  </sheetViews>
  <sheetFormatPr baseColWidth="10" defaultColWidth="11.42578125" defaultRowHeight="15.75"/>
  <cols>
    <col min="1" max="3" width="11.42578125" style="2"/>
    <col min="4" max="4" width="17.85546875" style="2" bestFit="1" customWidth="1"/>
    <col min="5" max="5" width="19.42578125" style="2" customWidth="1"/>
    <col min="6" max="6" width="55.140625" style="2" customWidth="1"/>
    <col min="7" max="16384" width="11.42578125" style="2"/>
  </cols>
  <sheetData>
    <row r="2" spans="2:9">
      <c r="F2" s="3" t="s">
        <v>35</v>
      </c>
    </row>
    <row r="3" spans="2:9">
      <c r="F3" s="3"/>
    </row>
    <row r="4" spans="2:9">
      <c r="B4" s="12"/>
      <c r="C4" s="13"/>
      <c r="D4" s="13"/>
      <c r="E4" s="14"/>
      <c r="F4" s="12" t="s">
        <v>51</v>
      </c>
      <c r="G4" s="13"/>
      <c r="H4" s="13"/>
      <c r="I4" s="14"/>
    </row>
    <row r="5" spans="2:9">
      <c r="B5" s="15"/>
      <c r="C5" s="16"/>
      <c r="D5" s="16"/>
      <c r="E5" s="17"/>
      <c r="F5" s="15"/>
      <c r="G5" s="16"/>
      <c r="H5" s="16"/>
      <c r="I5" s="17"/>
    </row>
    <row r="6" spans="2:9">
      <c r="B6" s="15"/>
      <c r="C6" s="16"/>
      <c r="D6" s="16"/>
      <c r="E6" s="17"/>
      <c r="F6" s="15"/>
      <c r="G6" s="16"/>
      <c r="H6" s="16"/>
      <c r="I6" s="17"/>
    </row>
    <row r="7" spans="2:9">
      <c r="B7" s="15"/>
      <c r="C7" s="16"/>
      <c r="D7" s="16"/>
      <c r="E7" s="17"/>
      <c r="F7" s="15"/>
      <c r="G7" s="16"/>
      <c r="H7" s="16"/>
      <c r="I7" s="17"/>
    </row>
    <row r="8" spans="2:9">
      <c r="B8" s="15"/>
      <c r="C8" s="16"/>
      <c r="D8" s="16"/>
      <c r="E8" s="17"/>
      <c r="F8" s="15"/>
      <c r="G8" s="16"/>
      <c r="H8" s="16"/>
      <c r="I8" s="17"/>
    </row>
    <row r="9" spans="2:9">
      <c r="B9" s="15"/>
      <c r="C9" s="16"/>
      <c r="D9" s="16"/>
      <c r="E9" s="17"/>
      <c r="F9" s="15"/>
      <c r="G9" s="16"/>
      <c r="H9" s="16"/>
      <c r="I9" s="17"/>
    </row>
    <row r="10" spans="2:9">
      <c r="B10" s="15"/>
      <c r="C10" s="16"/>
      <c r="D10" s="16"/>
      <c r="E10" s="17"/>
      <c r="F10" s="15"/>
      <c r="G10" s="16"/>
      <c r="H10" s="16"/>
      <c r="I10" s="17"/>
    </row>
    <row r="11" spans="2:9">
      <c r="B11" s="15"/>
      <c r="C11" s="16"/>
      <c r="D11" s="16"/>
      <c r="E11" s="17"/>
      <c r="F11" s="15"/>
      <c r="G11" s="16"/>
      <c r="H11" s="16"/>
      <c r="I11" s="17"/>
    </row>
    <row r="12" spans="2:9">
      <c r="B12" s="15"/>
      <c r="C12" s="16"/>
      <c r="D12" s="16"/>
      <c r="E12" s="17"/>
      <c r="F12" s="15"/>
      <c r="G12" s="16"/>
      <c r="H12" s="16"/>
      <c r="I12" s="17"/>
    </row>
    <row r="13" spans="2:9">
      <c r="B13" s="15"/>
      <c r="C13" s="16"/>
      <c r="D13" s="16"/>
      <c r="E13" s="17"/>
      <c r="F13" s="15"/>
      <c r="G13" s="16"/>
      <c r="H13" s="16"/>
      <c r="I13" s="17"/>
    </row>
    <row r="14" spans="2:9">
      <c r="B14" s="15"/>
      <c r="C14" s="16"/>
      <c r="D14" s="16"/>
      <c r="E14" s="17"/>
      <c r="F14" s="15"/>
      <c r="G14" s="16"/>
      <c r="H14" s="16"/>
      <c r="I14" s="17"/>
    </row>
    <row r="15" spans="2:9">
      <c r="B15" s="18"/>
      <c r="C15" s="19"/>
      <c r="D15" s="19"/>
      <c r="E15" s="20"/>
      <c r="F15" s="18"/>
      <c r="G15" s="19"/>
      <c r="H15" s="19"/>
      <c r="I15" s="20"/>
    </row>
    <row r="17" spans="5:7">
      <c r="F17" s="3" t="s">
        <v>36</v>
      </c>
    </row>
    <row r="19" spans="5:7">
      <c r="E19" s="4" t="s">
        <v>37</v>
      </c>
      <c r="F19" s="5" t="s">
        <v>52</v>
      </c>
      <c r="G19" s="6">
        <v>0.125</v>
      </c>
    </row>
    <row r="20" spans="5:7">
      <c r="E20" s="4" t="s">
        <v>38</v>
      </c>
      <c r="F20" s="21">
        <v>1400</v>
      </c>
      <c r="G20" s="6">
        <v>0.125</v>
      </c>
    </row>
    <row r="21" spans="5:7">
      <c r="E21" s="4" t="s">
        <v>39</v>
      </c>
      <c r="F21" s="5" t="s">
        <v>53</v>
      </c>
      <c r="G21" s="6">
        <v>0.125</v>
      </c>
    </row>
    <row r="22" spans="5:7">
      <c r="E22" s="4" t="s">
        <v>40</v>
      </c>
      <c r="F22" s="5" t="s">
        <v>54</v>
      </c>
      <c r="G22" s="6">
        <v>0.125</v>
      </c>
    </row>
    <row r="23" spans="5:7">
      <c r="G23" s="6"/>
    </row>
    <row r="24" spans="5:7">
      <c r="G24" s="6"/>
    </row>
    <row r="25" spans="5:7">
      <c r="F25" s="3" t="s">
        <v>41</v>
      </c>
      <c r="G25" s="6"/>
    </row>
    <row r="26" spans="5:7">
      <c r="G26" s="6"/>
    </row>
    <row r="27" spans="5:7">
      <c r="E27" s="4" t="s">
        <v>37</v>
      </c>
      <c r="F27" s="5" t="s">
        <v>55</v>
      </c>
      <c r="G27" s="6">
        <v>0.125</v>
      </c>
    </row>
    <row r="28" spans="5:7">
      <c r="E28" s="4" t="s">
        <v>38</v>
      </c>
      <c r="F28" s="21">
        <v>1850</v>
      </c>
      <c r="G28" s="6">
        <v>0.125</v>
      </c>
    </row>
    <row r="29" spans="5:7">
      <c r="E29" s="4" t="s">
        <v>39</v>
      </c>
      <c r="F29" s="5">
        <v>2430</v>
      </c>
      <c r="G29" s="6">
        <v>0.125</v>
      </c>
    </row>
    <row r="30" spans="5:7">
      <c r="E30" s="4" t="s">
        <v>40</v>
      </c>
      <c r="F30" s="5" t="s">
        <v>77</v>
      </c>
      <c r="G30" s="6">
        <v>0.125</v>
      </c>
    </row>
    <row r="34" spans="2:10">
      <c r="F34" s="3" t="s">
        <v>44</v>
      </c>
    </row>
    <row r="35" spans="2:10">
      <c r="F35" s="3"/>
    </row>
    <row r="36" spans="2:10">
      <c r="B36" s="22"/>
      <c r="C36" s="11"/>
      <c r="D36" s="11"/>
      <c r="E36" s="11"/>
      <c r="F36" s="11"/>
      <c r="G36" s="11"/>
      <c r="H36" s="11"/>
      <c r="I36" s="11"/>
      <c r="J36" s="11"/>
    </row>
    <row r="37" spans="2:10">
      <c r="B37" s="11"/>
      <c r="C37" s="11"/>
      <c r="D37" s="11"/>
      <c r="E37" s="11"/>
      <c r="F37" s="11"/>
      <c r="G37" s="11"/>
      <c r="H37" s="11"/>
      <c r="I37" s="11"/>
      <c r="J37" s="11"/>
    </row>
    <row r="38" spans="2:10">
      <c r="B38" s="11"/>
      <c r="C38" s="11"/>
      <c r="D38" s="11"/>
      <c r="E38" s="11"/>
      <c r="F38" s="11"/>
      <c r="G38" s="11"/>
      <c r="H38" s="11"/>
      <c r="I38" s="11"/>
      <c r="J38" s="11"/>
    </row>
    <row r="39" spans="2:10">
      <c r="B39" s="11"/>
      <c r="C39" s="11"/>
      <c r="D39" s="11"/>
      <c r="E39" s="11"/>
      <c r="F39" s="11"/>
      <c r="G39" s="11"/>
      <c r="H39" s="11"/>
      <c r="I39" s="11"/>
      <c r="J39" s="11"/>
    </row>
    <row r="40" spans="2:10">
      <c r="B40" s="11"/>
      <c r="C40" s="11"/>
      <c r="D40" s="11"/>
      <c r="E40" s="11"/>
      <c r="F40" s="11"/>
      <c r="G40" s="11"/>
      <c r="H40" s="11"/>
      <c r="I40" s="11"/>
      <c r="J40" s="11"/>
    </row>
    <row r="41" spans="2:10">
      <c r="B41" s="11"/>
      <c r="C41" s="11"/>
      <c r="D41" s="11"/>
      <c r="E41" s="11"/>
      <c r="F41" s="11"/>
      <c r="G41" s="11"/>
      <c r="H41" s="11"/>
      <c r="I41" s="11"/>
      <c r="J41" s="11"/>
    </row>
    <row r="42" spans="2:10">
      <c r="B42" s="11"/>
      <c r="C42" s="11"/>
      <c r="D42" s="11"/>
      <c r="E42" s="11"/>
      <c r="F42" s="11"/>
      <c r="G42" s="11"/>
      <c r="H42" s="11"/>
      <c r="I42" s="11"/>
      <c r="J42" s="11"/>
    </row>
    <row r="43" spans="2:10">
      <c r="B43" s="11"/>
      <c r="C43" s="11"/>
      <c r="D43" s="11"/>
      <c r="E43" s="11"/>
      <c r="F43" s="11"/>
      <c r="G43" s="11"/>
      <c r="H43" s="11"/>
      <c r="I43" s="11"/>
      <c r="J43" s="11"/>
    </row>
    <row r="44" spans="2:10">
      <c r="B44" s="11"/>
      <c r="C44" s="11"/>
      <c r="D44" s="11"/>
      <c r="E44" s="11"/>
      <c r="F44" s="11"/>
      <c r="G44" s="11"/>
      <c r="H44" s="11"/>
      <c r="I44" s="11"/>
      <c r="J44" s="11"/>
    </row>
    <row r="45" spans="2:10">
      <c r="B45" s="11"/>
      <c r="C45" s="11"/>
      <c r="D45" s="11"/>
      <c r="E45" s="11"/>
      <c r="F45" s="11"/>
      <c r="G45" s="11"/>
      <c r="H45" s="11"/>
      <c r="I45" s="11"/>
      <c r="J45" s="11"/>
    </row>
    <row r="46" spans="2:10">
      <c r="B46" s="11"/>
      <c r="C46" s="11"/>
      <c r="D46" s="11"/>
      <c r="E46" s="11"/>
      <c r="F46" s="11"/>
      <c r="G46" s="11"/>
      <c r="H46" s="11"/>
      <c r="I46" s="11"/>
      <c r="J46" s="11"/>
    </row>
    <row r="47" spans="2:10">
      <c r="B47" s="11"/>
      <c r="C47" s="11"/>
      <c r="D47" s="11"/>
      <c r="E47" s="11"/>
      <c r="F47" s="11"/>
      <c r="G47" s="11"/>
      <c r="H47" s="11"/>
      <c r="I47" s="11"/>
      <c r="J47" s="11"/>
    </row>
  </sheetData>
  <mergeCells count="3">
    <mergeCell ref="B36:J47"/>
    <mergeCell ref="B4:E15"/>
    <mergeCell ref="F4:I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B696F-B57D-45AB-94C3-763685F627C6}">
  <dimension ref="A1:L12"/>
  <sheetViews>
    <sheetView workbookViewId="0">
      <selection activeCell="L12" sqref="A1:L12"/>
    </sheetView>
  </sheetViews>
  <sheetFormatPr baseColWidth="10" defaultColWidth="8.7109375" defaultRowHeight="15"/>
  <cols>
    <col min="30" max="30" width="13.42578125" customWidth="1"/>
    <col min="32" max="32" width="12.85546875" bestFit="1" customWidth="1"/>
  </cols>
  <sheetData>
    <row r="1" spans="1:12">
      <c r="A1" s="7" t="s">
        <v>43</v>
      </c>
      <c r="B1" s="8">
        <v>0</v>
      </c>
      <c r="C1" s="8">
        <v>1</v>
      </c>
      <c r="D1" s="8">
        <v>2</v>
      </c>
      <c r="E1" s="8">
        <v>3</v>
      </c>
      <c r="F1" s="8">
        <v>4</v>
      </c>
      <c r="G1" s="8">
        <v>5</v>
      </c>
      <c r="H1" s="8">
        <v>6</v>
      </c>
      <c r="I1" s="8">
        <v>7</v>
      </c>
      <c r="J1" s="8">
        <v>8</v>
      </c>
      <c r="K1" s="8">
        <v>9</v>
      </c>
      <c r="L1" s="8">
        <v>10</v>
      </c>
    </row>
    <row r="2" spans="1:12">
      <c r="A2" s="9">
        <v>0</v>
      </c>
      <c r="B2" s="10">
        <v>0</v>
      </c>
      <c r="C2" s="10">
        <v>10</v>
      </c>
      <c r="D2" s="10">
        <v>14</v>
      </c>
      <c r="E2" s="10">
        <v>4</v>
      </c>
      <c r="F2" s="10">
        <v>9</v>
      </c>
      <c r="G2" s="10">
        <v>5</v>
      </c>
      <c r="H2" s="10">
        <v>7</v>
      </c>
      <c r="I2" s="10">
        <v>8</v>
      </c>
      <c r="J2" s="10">
        <v>9</v>
      </c>
      <c r="K2" s="10">
        <v>11</v>
      </c>
      <c r="L2" s="10">
        <v>4</v>
      </c>
    </row>
    <row r="3" spans="1:12">
      <c r="A3" s="9">
        <v>1</v>
      </c>
      <c r="B3" s="10">
        <v>10</v>
      </c>
      <c r="C3" s="10">
        <v>0</v>
      </c>
      <c r="D3" s="10">
        <v>6</v>
      </c>
      <c r="E3" s="10">
        <v>4</v>
      </c>
      <c r="F3" s="10" t="s">
        <v>45</v>
      </c>
      <c r="G3" s="10">
        <v>21</v>
      </c>
      <c r="H3" s="10">
        <v>18</v>
      </c>
      <c r="I3" s="10" t="s">
        <v>45</v>
      </c>
      <c r="J3" s="10">
        <v>12</v>
      </c>
      <c r="K3" s="10">
        <v>4</v>
      </c>
      <c r="L3" s="10" t="s">
        <v>45</v>
      </c>
    </row>
    <row r="4" spans="1:12">
      <c r="A4" s="9">
        <v>2</v>
      </c>
      <c r="B4" s="10">
        <v>14</v>
      </c>
      <c r="C4" s="10">
        <v>6</v>
      </c>
      <c r="D4" s="10">
        <v>0</v>
      </c>
      <c r="E4" s="10">
        <v>11</v>
      </c>
      <c r="F4" s="10">
        <v>2</v>
      </c>
      <c r="G4" s="10">
        <v>17</v>
      </c>
      <c r="H4" s="10">
        <v>24</v>
      </c>
      <c r="I4" s="10" t="s">
        <v>45</v>
      </c>
      <c r="J4" s="10">
        <v>9</v>
      </c>
      <c r="K4" s="10">
        <v>14</v>
      </c>
      <c r="L4" s="10">
        <v>2</v>
      </c>
    </row>
    <row r="5" spans="1:12">
      <c r="A5" s="9">
        <v>3</v>
      </c>
      <c r="B5" s="10">
        <v>4</v>
      </c>
      <c r="C5" s="10">
        <v>4</v>
      </c>
      <c r="D5" s="10">
        <v>11</v>
      </c>
      <c r="E5" s="10">
        <v>0</v>
      </c>
      <c r="F5" s="10">
        <v>3</v>
      </c>
      <c r="G5" s="10" t="s">
        <v>45</v>
      </c>
      <c r="H5" s="10">
        <v>22</v>
      </c>
      <c r="I5" s="10">
        <v>13</v>
      </c>
      <c r="J5" s="10">
        <v>18</v>
      </c>
      <c r="K5" s="10">
        <v>9</v>
      </c>
      <c r="L5" s="10">
        <v>18</v>
      </c>
    </row>
    <row r="6" spans="1:12">
      <c r="A6" s="9">
        <v>4</v>
      </c>
      <c r="B6" s="10">
        <v>9</v>
      </c>
      <c r="C6" s="10" t="s">
        <v>45</v>
      </c>
      <c r="D6" s="10">
        <v>2</v>
      </c>
      <c r="E6" s="10">
        <v>3</v>
      </c>
      <c r="F6" s="10">
        <v>0</v>
      </c>
      <c r="G6" s="10">
        <v>9</v>
      </c>
      <c r="H6" s="10">
        <v>11</v>
      </c>
      <c r="I6" s="10" t="s">
        <v>45</v>
      </c>
      <c r="J6" s="10">
        <v>10</v>
      </c>
      <c r="K6" s="10" t="s">
        <v>45</v>
      </c>
      <c r="L6" s="10" t="s">
        <v>45</v>
      </c>
    </row>
    <row r="7" spans="1:12">
      <c r="A7" s="9">
        <v>5</v>
      </c>
      <c r="B7" s="10">
        <v>5</v>
      </c>
      <c r="C7" s="10">
        <v>21</v>
      </c>
      <c r="D7" s="10">
        <v>17</v>
      </c>
      <c r="E7" s="10" t="s">
        <v>45</v>
      </c>
      <c r="F7" s="10">
        <v>9</v>
      </c>
      <c r="G7" s="10">
        <v>0</v>
      </c>
      <c r="H7" s="10">
        <v>14</v>
      </c>
      <c r="I7" s="10">
        <v>16</v>
      </c>
      <c r="J7" s="10">
        <v>4</v>
      </c>
      <c r="K7" s="10">
        <v>23</v>
      </c>
      <c r="L7" s="10">
        <v>1</v>
      </c>
    </row>
    <row r="8" spans="1:12">
      <c r="A8" s="9">
        <v>6</v>
      </c>
      <c r="B8" s="10">
        <v>7</v>
      </c>
      <c r="C8" s="10">
        <v>18</v>
      </c>
      <c r="D8" s="10">
        <v>24</v>
      </c>
      <c r="E8" s="10">
        <v>22</v>
      </c>
      <c r="F8" s="10">
        <v>11</v>
      </c>
      <c r="G8" s="10">
        <v>14</v>
      </c>
      <c r="H8" s="10">
        <v>0</v>
      </c>
      <c r="I8" s="10">
        <v>12</v>
      </c>
      <c r="J8" s="10">
        <v>17</v>
      </c>
      <c r="K8" s="10">
        <v>2</v>
      </c>
      <c r="L8" s="10">
        <v>19</v>
      </c>
    </row>
    <row r="9" spans="1:12">
      <c r="A9" s="9">
        <v>7</v>
      </c>
      <c r="B9" s="10">
        <v>8</v>
      </c>
      <c r="C9" s="10" t="s">
        <v>45</v>
      </c>
      <c r="D9" s="10" t="s">
        <v>45</v>
      </c>
      <c r="E9" s="10">
        <v>13</v>
      </c>
      <c r="F9" s="10" t="s">
        <v>45</v>
      </c>
      <c r="G9" s="10">
        <v>16</v>
      </c>
      <c r="H9" s="10">
        <v>12</v>
      </c>
      <c r="I9" s="10">
        <v>0</v>
      </c>
      <c r="J9" s="10">
        <v>7</v>
      </c>
      <c r="K9" s="10" t="s">
        <v>45</v>
      </c>
      <c r="L9" s="10">
        <v>6</v>
      </c>
    </row>
    <row r="10" spans="1:12">
      <c r="A10" s="9">
        <v>8</v>
      </c>
      <c r="B10" s="10">
        <v>9</v>
      </c>
      <c r="C10" s="10">
        <v>12</v>
      </c>
      <c r="D10" s="10">
        <v>9</v>
      </c>
      <c r="E10" s="10">
        <v>18</v>
      </c>
      <c r="F10" s="10">
        <v>10</v>
      </c>
      <c r="G10" s="10">
        <v>4</v>
      </c>
      <c r="H10" s="10">
        <v>17</v>
      </c>
      <c r="I10" s="10">
        <v>7</v>
      </c>
      <c r="J10" s="10">
        <v>0</v>
      </c>
      <c r="K10" s="10">
        <v>14</v>
      </c>
      <c r="L10" s="10">
        <v>12</v>
      </c>
    </row>
    <row r="11" spans="1:12">
      <c r="A11" s="9">
        <v>9</v>
      </c>
      <c r="B11" s="10">
        <v>11</v>
      </c>
      <c r="C11" s="10">
        <v>4</v>
      </c>
      <c r="D11" s="10">
        <v>14</v>
      </c>
      <c r="E11" s="10">
        <v>9</v>
      </c>
      <c r="F11" s="10" t="s">
        <v>45</v>
      </c>
      <c r="G11" s="10">
        <v>23</v>
      </c>
      <c r="H11" s="10">
        <v>2</v>
      </c>
      <c r="I11" s="10" t="s">
        <v>45</v>
      </c>
      <c r="J11" s="10">
        <v>14</v>
      </c>
      <c r="K11" s="10">
        <v>0</v>
      </c>
      <c r="L11" s="10" t="s">
        <v>45</v>
      </c>
    </row>
    <row r="12" spans="1:12">
      <c r="A12" s="9">
        <v>10</v>
      </c>
      <c r="B12" s="10">
        <v>4</v>
      </c>
      <c r="C12" s="10" t="s">
        <v>45</v>
      </c>
      <c r="D12" s="10">
        <v>2</v>
      </c>
      <c r="E12" s="10">
        <v>18</v>
      </c>
      <c r="F12" s="10" t="s">
        <v>45</v>
      </c>
      <c r="G12" s="10">
        <v>1</v>
      </c>
      <c r="H12" s="10">
        <v>19</v>
      </c>
      <c r="I12" s="10">
        <v>6</v>
      </c>
      <c r="J12" s="10">
        <v>12</v>
      </c>
      <c r="K12" s="10" t="s">
        <v>45</v>
      </c>
      <c r="L12" s="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EE9C5-91F6-4EE0-80F8-B73D4FC0CD9B}">
  <dimension ref="B3:J46"/>
  <sheetViews>
    <sheetView showGridLines="0" topLeftCell="A12" zoomScale="110" zoomScaleNormal="110" workbookViewId="0">
      <selection activeCell="H15" sqref="H15"/>
    </sheetView>
  </sheetViews>
  <sheetFormatPr baseColWidth="10" defaultColWidth="11.42578125" defaultRowHeight="15.75"/>
  <cols>
    <col min="1" max="3" width="11.42578125" style="2"/>
    <col min="4" max="4" width="20.5703125" style="2" customWidth="1"/>
    <col min="5" max="5" width="21.42578125" style="2" customWidth="1"/>
    <col min="6" max="6" width="29" style="2" customWidth="1"/>
    <col min="7" max="7" width="20.42578125" style="2" customWidth="1"/>
    <col min="8" max="8" width="21.42578125" style="2" customWidth="1"/>
    <col min="9" max="9" width="20.140625" style="2" customWidth="1"/>
    <col min="10" max="16384" width="11.42578125" style="2"/>
  </cols>
  <sheetData>
    <row r="3" spans="5:9">
      <c r="F3" s="3" t="s">
        <v>47</v>
      </c>
    </row>
    <row r="5" spans="5:9">
      <c r="E5" s="4" t="s">
        <v>37</v>
      </c>
      <c r="F5" s="5" t="s">
        <v>56</v>
      </c>
      <c r="G5" s="4" t="s">
        <v>37</v>
      </c>
      <c r="H5" s="5" t="s">
        <v>57</v>
      </c>
      <c r="I5"/>
    </row>
    <row r="6" spans="5:9">
      <c r="E6" s="4" t="s">
        <v>50</v>
      </c>
      <c r="F6" s="5">
        <v>24</v>
      </c>
      <c r="G6" s="4" t="s">
        <v>50</v>
      </c>
      <c r="H6" s="5">
        <v>28</v>
      </c>
      <c r="I6"/>
    </row>
    <row r="7" spans="5:9">
      <c r="E7" s="4" t="s">
        <v>39</v>
      </c>
      <c r="F7" s="5">
        <v>24</v>
      </c>
      <c r="G7" s="4" t="s">
        <v>39</v>
      </c>
      <c r="H7" s="5">
        <v>28</v>
      </c>
      <c r="I7"/>
    </row>
    <row r="8" spans="5:9">
      <c r="E8" s="4" t="s">
        <v>40</v>
      </c>
      <c r="F8" s="23">
        <v>3.9583333333333331E-2</v>
      </c>
      <c r="G8" s="4" t="s">
        <v>40</v>
      </c>
      <c r="H8" s="23">
        <v>4.6527777777777779E-2</v>
      </c>
      <c r="I8"/>
    </row>
    <row r="9" spans="5:9">
      <c r="G9" s="6"/>
    </row>
    <row r="11" spans="5:9">
      <c r="F11" s="3" t="s">
        <v>46</v>
      </c>
    </row>
    <row r="13" spans="5:9">
      <c r="E13" s="4" t="s">
        <v>37</v>
      </c>
      <c r="F13" s="5" t="str">
        <f>'C&amp;W'!P142</f>
        <v>0-10-5-8-7-0</v>
      </c>
      <c r="G13" s="4" t="s">
        <v>37</v>
      </c>
      <c r="H13" s="5" t="str">
        <f>'C&amp;W'!P141</f>
        <v>0-6-9-1-2-4-3-0</v>
      </c>
      <c r="I13"/>
    </row>
    <row r="14" spans="5:9">
      <c r="E14" s="4" t="s">
        <v>50</v>
      </c>
      <c r="F14" s="5">
        <v>24</v>
      </c>
      <c r="G14" s="4" t="s">
        <v>50</v>
      </c>
      <c r="H14" s="5">
        <v>28</v>
      </c>
      <c r="I14"/>
    </row>
    <row r="15" spans="5:9">
      <c r="E15" s="4" t="s">
        <v>39</v>
      </c>
      <c r="F15" s="5">
        <f>'C&amp;W'!Q142</f>
        <v>24</v>
      </c>
      <c r="G15" s="4" t="s">
        <v>39</v>
      </c>
      <c r="H15" s="5">
        <f>'C&amp;W'!Q141</f>
        <v>28</v>
      </c>
      <c r="I15"/>
    </row>
    <row r="16" spans="5:9">
      <c r="E16" s="4" t="s">
        <v>40</v>
      </c>
      <c r="F16" s="23">
        <v>3.9583333333333331E-2</v>
      </c>
      <c r="G16" s="4" t="s">
        <v>40</v>
      </c>
      <c r="H16" s="23">
        <v>4.6527777777777779E-2</v>
      </c>
      <c r="I16"/>
    </row>
    <row r="18" spans="2:10">
      <c r="F18" s="3" t="s">
        <v>48</v>
      </c>
    </row>
    <row r="19" spans="2:10">
      <c r="F19" s="3"/>
    </row>
    <row r="20" spans="2:10">
      <c r="B20" s="11" t="s">
        <v>42</v>
      </c>
      <c r="C20" s="11"/>
      <c r="D20" s="11"/>
      <c r="E20" s="11"/>
      <c r="F20" s="11"/>
      <c r="G20" s="11"/>
      <c r="H20" s="11"/>
      <c r="I20" s="11"/>
      <c r="J20" s="11"/>
    </row>
    <row r="21" spans="2:10">
      <c r="B21" s="11"/>
      <c r="C21" s="11"/>
      <c r="D21" s="11"/>
      <c r="E21" s="11"/>
      <c r="F21" s="11"/>
      <c r="G21" s="11"/>
      <c r="H21" s="11"/>
      <c r="I21" s="11"/>
      <c r="J21" s="11"/>
    </row>
    <row r="22" spans="2:10">
      <c r="B22" s="11"/>
      <c r="C22" s="11"/>
      <c r="D22" s="11"/>
      <c r="E22" s="11"/>
      <c r="F22" s="11"/>
      <c r="G22" s="11"/>
      <c r="H22" s="11"/>
      <c r="I22" s="11"/>
      <c r="J22" s="11"/>
    </row>
    <row r="23" spans="2:10">
      <c r="B23" s="11"/>
      <c r="C23" s="11"/>
      <c r="D23" s="11"/>
      <c r="E23" s="11"/>
      <c r="F23" s="11"/>
      <c r="G23" s="11"/>
      <c r="H23" s="11"/>
      <c r="I23" s="11"/>
      <c r="J23" s="11"/>
    </row>
    <row r="24" spans="2:10">
      <c r="B24" s="11"/>
      <c r="C24" s="11"/>
      <c r="D24" s="11"/>
      <c r="E24" s="11"/>
      <c r="F24" s="11"/>
      <c r="G24" s="11"/>
      <c r="H24" s="11"/>
      <c r="I24" s="11"/>
      <c r="J24" s="11"/>
    </row>
    <row r="25" spans="2:10">
      <c r="B25" s="11"/>
      <c r="C25" s="11"/>
      <c r="D25" s="11"/>
      <c r="E25" s="11"/>
      <c r="F25" s="11"/>
      <c r="G25" s="11"/>
      <c r="H25" s="11"/>
      <c r="I25" s="11"/>
      <c r="J25" s="11"/>
    </row>
    <row r="26" spans="2:10">
      <c r="B26" s="11"/>
      <c r="C26" s="11"/>
      <c r="D26" s="11"/>
      <c r="E26" s="11"/>
      <c r="F26" s="11"/>
      <c r="G26" s="11"/>
      <c r="H26" s="11"/>
      <c r="I26" s="11"/>
      <c r="J26" s="11"/>
    </row>
    <row r="27" spans="2:10">
      <c r="B27" s="11"/>
      <c r="C27" s="11"/>
      <c r="D27" s="11"/>
      <c r="E27" s="11"/>
      <c r="F27" s="11"/>
      <c r="G27" s="11"/>
      <c r="H27" s="11"/>
      <c r="I27" s="11"/>
      <c r="J27" s="11"/>
    </row>
    <row r="28" spans="2:10">
      <c r="B28" s="11"/>
      <c r="C28" s="11"/>
      <c r="D28" s="11"/>
      <c r="E28" s="11"/>
      <c r="F28" s="11"/>
      <c r="G28" s="11"/>
      <c r="H28" s="11"/>
      <c r="I28" s="11"/>
      <c r="J28" s="11"/>
    </row>
    <row r="29" spans="2:10">
      <c r="B29" s="11"/>
      <c r="C29" s="11"/>
      <c r="D29" s="11"/>
      <c r="E29" s="11"/>
      <c r="F29" s="11"/>
      <c r="G29" s="11"/>
      <c r="H29" s="11"/>
      <c r="I29" s="11"/>
      <c r="J29" s="11"/>
    </row>
    <row r="30" spans="2:10">
      <c r="B30" s="11"/>
      <c r="C30" s="11"/>
      <c r="D30" s="11"/>
      <c r="E30" s="11"/>
      <c r="F30" s="11"/>
      <c r="G30" s="11"/>
      <c r="H30" s="11"/>
      <c r="I30" s="11"/>
      <c r="J30" s="11"/>
    </row>
    <row r="31" spans="2:10">
      <c r="B31" s="11"/>
      <c r="C31" s="11"/>
      <c r="D31" s="11"/>
      <c r="E31" s="11"/>
      <c r="F31" s="11"/>
      <c r="G31" s="11"/>
      <c r="H31" s="11"/>
      <c r="I31" s="11"/>
      <c r="J31" s="11"/>
    </row>
    <row r="33" spans="2:10">
      <c r="F33" s="3" t="s">
        <v>49</v>
      </c>
    </row>
    <row r="34" spans="2:10">
      <c r="F34" s="3"/>
    </row>
    <row r="35" spans="2:10">
      <c r="B35" s="22" t="s">
        <v>76</v>
      </c>
      <c r="C35" s="22"/>
      <c r="D35" s="22"/>
      <c r="E35" s="22"/>
      <c r="F35" s="22"/>
      <c r="G35" s="22"/>
      <c r="H35" s="22"/>
      <c r="I35" s="22"/>
      <c r="J35" s="22"/>
    </row>
    <row r="36" spans="2:10">
      <c r="B36" s="22"/>
      <c r="C36" s="22"/>
      <c r="D36" s="22"/>
      <c r="E36" s="22"/>
      <c r="F36" s="22"/>
      <c r="G36" s="22"/>
      <c r="H36" s="22"/>
      <c r="I36" s="22"/>
      <c r="J36" s="22"/>
    </row>
    <row r="37" spans="2:10">
      <c r="B37" s="22"/>
      <c r="C37" s="22"/>
      <c r="D37" s="22"/>
      <c r="E37" s="22"/>
      <c r="F37" s="22"/>
      <c r="G37" s="22"/>
      <c r="H37" s="22"/>
      <c r="I37" s="22"/>
      <c r="J37" s="22"/>
    </row>
    <row r="38" spans="2:10">
      <c r="B38" s="22"/>
      <c r="C38" s="22"/>
      <c r="D38" s="22"/>
      <c r="E38" s="22"/>
      <c r="F38" s="22"/>
      <c r="G38" s="22"/>
      <c r="H38" s="22"/>
      <c r="I38" s="22"/>
      <c r="J38" s="22"/>
    </row>
    <row r="39" spans="2:10">
      <c r="B39" s="22"/>
      <c r="C39" s="22"/>
      <c r="D39" s="22"/>
      <c r="E39" s="22"/>
      <c r="F39" s="22"/>
      <c r="G39" s="22"/>
      <c r="H39" s="22"/>
      <c r="I39" s="22"/>
      <c r="J39" s="22"/>
    </row>
    <row r="40" spans="2:10">
      <c r="B40" s="22"/>
      <c r="C40" s="22"/>
      <c r="D40" s="22"/>
      <c r="E40" s="22"/>
      <c r="F40" s="22"/>
      <c r="G40" s="22"/>
      <c r="H40" s="22"/>
      <c r="I40" s="22"/>
      <c r="J40" s="22"/>
    </row>
    <row r="41" spans="2:10">
      <c r="B41" s="22"/>
      <c r="C41" s="22"/>
      <c r="D41" s="22"/>
      <c r="E41" s="22"/>
      <c r="F41" s="22"/>
      <c r="G41" s="22"/>
      <c r="H41" s="22"/>
      <c r="I41" s="22"/>
      <c r="J41" s="22"/>
    </row>
    <row r="42" spans="2:10">
      <c r="B42" s="22"/>
      <c r="C42" s="22"/>
      <c r="D42" s="22"/>
      <c r="E42" s="22"/>
      <c r="F42" s="22"/>
      <c r="G42" s="22"/>
      <c r="H42" s="22"/>
      <c r="I42" s="22"/>
      <c r="J42" s="22"/>
    </row>
    <row r="43" spans="2:10">
      <c r="B43" s="22"/>
      <c r="C43" s="22"/>
      <c r="D43" s="22"/>
      <c r="E43" s="22"/>
      <c r="F43" s="22"/>
      <c r="G43" s="22"/>
      <c r="H43" s="22"/>
      <c r="I43" s="22"/>
      <c r="J43" s="22"/>
    </row>
    <row r="44" spans="2:10">
      <c r="B44" s="22"/>
      <c r="C44" s="22"/>
      <c r="D44" s="22"/>
      <c r="E44" s="22"/>
      <c r="F44" s="22"/>
      <c r="G44" s="22"/>
      <c r="H44" s="22"/>
      <c r="I44" s="22"/>
      <c r="J44" s="22"/>
    </row>
    <row r="45" spans="2:10">
      <c r="B45" s="22"/>
      <c r="C45" s="22"/>
      <c r="D45" s="22"/>
      <c r="E45" s="22"/>
      <c r="F45" s="22"/>
      <c r="G45" s="22"/>
      <c r="H45" s="22"/>
      <c r="I45" s="22"/>
      <c r="J45" s="22"/>
    </row>
    <row r="46" spans="2:10">
      <c r="B46" s="22"/>
      <c r="C46" s="22"/>
      <c r="D46" s="22"/>
      <c r="E46" s="22"/>
      <c r="F46" s="22"/>
      <c r="G46" s="22"/>
      <c r="H46" s="22"/>
      <c r="I46" s="22"/>
      <c r="J46" s="22"/>
    </row>
  </sheetData>
  <mergeCells count="2">
    <mergeCell ref="B20:J31"/>
    <mergeCell ref="B35:J4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F963-24E7-45F2-A224-6324E188B108}">
  <dimension ref="B2:U150"/>
  <sheetViews>
    <sheetView topLeftCell="C118" workbookViewId="0">
      <selection activeCell="T141" sqref="T141"/>
    </sheetView>
  </sheetViews>
  <sheetFormatPr baseColWidth="10" defaultRowHeight="15"/>
  <cols>
    <col min="19" max="20" width="12.85546875" bestFit="1" customWidth="1"/>
  </cols>
  <sheetData>
    <row r="2" spans="2:13">
      <c r="B2" s="24" t="s">
        <v>58</v>
      </c>
    </row>
    <row r="4" spans="2:13">
      <c r="B4" s="7" t="s">
        <v>43</v>
      </c>
      <c r="C4" s="8">
        <v>0</v>
      </c>
      <c r="D4" s="8">
        <v>1</v>
      </c>
      <c r="E4" s="8">
        <v>2</v>
      </c>
      <c r="F4" s="8">
        <v>3</v>
      </c>
      <c r="G4" s="8">
        <v>4</v>
      </c>
      <c r="H4" s="8">
        <v>5</v>
      </c>
      <c r="I4" s="8">
        <v>6</v>
      </c>
      <c r="J4" s="8">
        <v>7</v>
      </c>
      <c r="K4" s="8">
        <v>8</v>
      </c>
      <c r="L4" s="8">
        <v>9</v>
      </c>
      <c r="M4" s="8">
        <v>10</v>
      </c>
    </row>
    <row r="5" spans="2:13">
      <c r="B5" s="9">
        <v>0</v>
      </c>
      <c r="C5" s="10">
        <v>0</v>
      </c>
      <c r="D5" s="10">
        <v>10</v>
      </c>
      <c r="E5" s="10">
        <v>14</v>
      </c>
      <c r="F5" s="10">
        <v>4</v>
      </c>
      <c r="G5" s="10">
        <v>9</v>
      </c>
      <c r="H5" s="10">
        <v>5</v>
      </c>
      <c r="I5" s="10">
        <v>7</v>
      </c>
      <c r="J5" s="10">
        <v>8</v>
      </c>
      <c r="K5" s="10">
        <v>9</v>
      </c>
      <c r="L5" s="10">
        <v>11</v>
      </c>
      <c r="M5" s="10">
        <v>4</v>
      </c>
    </row>
    <row r="6" spans="2:13">
      <c r="B6" s="9">
        <v>1</v>
      </c>
      <c r="C6" s="10">
        <v>10</v>
      </c>
      <c r="D6" s="10">
        <v>0</v>
      </c>
      <c r="E6" s="10">
        <v>6</v>
      </c>
      <c r="F6" s="10">
        <v>4</v>
      </c>
      <c r="G6" s="10">
        <v>99999999</v>
      </c>
      <c r="H6" s="10">
        <v>21</v>
      </c>
      <c r="I6" s="10">
        <v>18</v>
      </c>
      <c r="J6" s="10">
        <v>99999999</v>
      </c>
      <c r="K6" s="10">
        <v>12</v>
      </c>
      <c r="L6" s="10">
        <v>4</v>
      </c>
      <c r="M6" s="10">
        <v>99999999</v>
      </c>
    </row>
    <row r="7" spans="2:13">
      <c r="B7" s="9">
        <v>2</v>
      </c>
      <c r="C7" s="10">
        <v>14</v>
      </c>
      <c r="D7" s="10">
        <v>6</v>
      </c>
      <c r="E7" s="10">
        <v>0</v>
      </c>
      <c r="F7" s="10">
        <v>11</v>
      </c>
      <c r="G7" s="10">
        <v>2</v>
      </c>
      <c r="H7" s="10">
        <v>17</v>
      </c>
      <c r="I7" s="10">
        <v>24</v>
      </c>
      <c r="J7" s="10">
        <v>99999999</v>
      </c>
      <c r="K7" s="10">
        <v>9</v>
      </c>
      <c r="L7" s="10">
        <v>14</v>
      </c>
      <c r="M7" s="10">
        <v>2</v>
      </c>
    </row>
    <row r="8" spans="2:13">
      <c r="B8" s="9">
        <v>3</v>
      </c>
      <c r="C8" s="10">
        <v>4</v>
      </c>
      <c r="D8" s="10">
        <v>4</v>
      </c>
      <c r="E8" s="10">
        <v>11</v>
      </c>
      <c r="F8" s="10">
        <v>0</v>
      </c>
      <c r="G8" s="10">
        <v>3</v>
      </c>
      <c r="H8" s="10">
        <v>99999999</v>
      </c>
      <c r="I8" s="10">
        <v>22</v>
      </c>
      <c r="J8" s="10">
        <v>13</v>
      </c>
      <c r="K8" s="10">
        <v>18</v>
      </c>
      <c r="L8" s="10">
        <v>9</v>
      </c>
      <c r="M8" s="10">
        <v>18</v>
      </c>
    </row>
    <row r="9" spans="2:13">
      <c r="B9" s="9">
        <v>4</v>
      </c>
      <c r="C9" s="10">
        <v>9</v>
      </c>
      <c r="D9" s="10">
        <v>99999999</v>
      </c>
      <c r="E9" s="10">
        <v>2</v>
      </c>
      <c r="F9" s="10">
        <v>3</v>
      </c>
      <c r="G9" s="10">
        <v>0</v>
      </c>
      <c r="H9" s="10">
        <v>9</v>
      </c>
      <c r="I9" s="10">
        <v>11</v>
      </c>
      <c r="J9" s="10">
        <v>99999999</v>
      </c>
      <c r="K9" s="10">
        <v>10</v>
      </c>
      <c r="L9" s="10">
        <v>99999999</v>
      </c>
      <c r="M9" s="10">
        <v>99999999</v>
      </c>
    </row>
    <row r="10" spans="2:13">
      <c r="B10" s="9">
        <v>5</v>
      </c>
      <c r="C10" s="10">
        <v>5</v>
      </c>
      <c r="D10" s="10">
        <v>21</v>
      </c>
      <c r="E10" s="10">
        <v>17</v>
      </c>
      <c r="F10" s="10">
        <v>99999999</v>
      </c>
      <c r="G10" s="10">
        <v>9</v>
      </c>
      <c r="H10" s="10">
        <v>0</v>
      </c>
      <c r="I10" s="10">
        <v>14</v>
      </c>
      <c r="J10" s="10">
        <v>16</v>
      </c>
      <c r="K10" s="10">
        <v>4</v>
      </c>
      <c r="L10" s="10">
        <v>23</v>
      </c>
      <c r="M10" s="10">
        <v>1</v>
      </c>
    </row>
    <row r="11" spans="2:13">
      <c r="B11" s="9">
        <v>6</v>
      </c>
      <c r="C11" s="10">
        <v>7</v>
      </c>
      <c r="D11" s="10">
        <v>18</v>
      </c>
      <c r="E11" s="10">
        <v>24</v>
      </c>
      <c r="F11" s="10">
        <v>22</v>
      </c>
      <c r="G11" s="10">
        <v>11</v>
      </c>
      <c r="H11" s="10">
        <v>14</v>
      </c>
      <c r="I11" s="10">
        <v>0</v>
      </c>
      <c r="J11" s="10">
        <v>12</v>
      </c>
      <c r="K11" s="10">
        <v>17</v>
      </c>
      <c r="L11" s="10">
        <v>2</v>
      </c>
      <c r="M11" s="10">
        <v>19</v>
      </c>
    </row>
    <row r="12" spans="2:13">
      <c r="B12" s="9">
        <v>7</v>
      </c>
      <c r="C12" s="10">
        <v>8</v>
      </c>
      <c r="D12" s="10">
        <v>99999999</v>
      </c>
      <c r="E12" s="10">
        <v>99999999</v>
      </c>
      <c r="F12" s="10">
        <v>13</v>
      </c>
      <c r="G12" s="10">
        <v>99999999</v>
      </c>
      <c r="H12" s="10">
        <v>16</v>
      </c>
      <c r="I12" s="10">
        <v>12</v>
      </c>
      <c r="J12" s="10">
        <v>0</v>
      </c>
      <c r="K12" s="10">
        <v>7</v>
      </c>
      <c r="L12" s="10">
        <v>99999999</v>
      </c>
      <c r="M12" s="10">
        <v>6</v>
      </c>
    </row>
    <row r="13" spans="2:13">
      <c r="B13" s="9">
        <v>8</v>
      </c>
      <c r="C13" s="10">
        <v>9</v>
      </c>
      <c r="D13" s="10">
        <v>12</v>
      </c>
      <c r="E13" s="10">
        <v>9</v>
      </c>
      <c r="F13" s="10">
        <v>18</v>
      </c>
      <c r="G13" s="10">
        <v>10</v>
      </c>
      <c r="H13" s="10">
        <v>4</v>
      </c>
      <c r="I13" s="10">
        <v>17</v>
      </c>
      <c r="J13" s="10">
        <v>7</v>
      </c>
      <c r="K13" s="10">
        <v>0</v>
      </c>
      <c r="L13" s="10">
        <v>14</v>
      </c>
      <c r="M13" s="10">
        <v>12</v>
      </c>
    </row>
    <row r="14" spans="2:13">
      <c r="B14" s="9">
        <v>9</v>
      </c>
      <c r="C14" s="10">
        <v>11</v>
      </c>
      <c r="D14" s="10">
        <v>4</v>
      </c>
      <c r="E14" s="10">
        <v>14</v>
      </c>
      <c r="F14" s="10">
        <v>9</v>
      </c>
      <c r="G14" s="10">
        <v>99999999</v>
      </c>
      <c r="H14" s="10">
        <v>23</v>
      </c>
      <c r="I14" s="10">
        <v>2</v>
      </c>
      <c r="J14" s="10">
        <v>99999999</v>
      </c>
      <c r="K14" s="10">
        <v>14</v>
      </c>
      <c r="L14" s="10">
        <v>0</v>
      </c>
      <c r="M14" s="10">
        <v>99999999</v>
      </c>
    </row>
    <row r="15" spans="2:13">
      <c r="B15" s="9">
        <v>10</v>
      </c>
      <c r="C15" s="10">
        <v>4</v>
      </c>
      <c r="D15" s="10">
        <v>99999999</v>
      </c>
      <c r="E15" s="10">
        <v>2</v>
      </c>
      <c r="F15" s="10">
        <v>18</v>
      </c>
      <c r="G15" s="10">
        <v>99999999</v>
      </c>
      <c r="H15" s="10">
        <v>1</v>
      </c>
      <c r="I15" s="10">
        <v>19</v>
      </c>
      <c r="J15" s="10">
        <v>6</v>
      </c>
      <c r="K15" s="10">
        <v>12</v>
      </c>
      <c r="L15" s="10">
        <v>99999999</v>
      </c>
      <c r="M15" s="10">
        <v>0</v>
      </c>
    </row>
    <row r="17" spans="2:16">
      <c r="B17" s="24" t="s">
        <v>59</v>
      </c>
    </row>
    <row r="19" spans="2:16">
      <c r="B19" s="7" t="s">
        <v>43</v>
      </c>
      <c r="C19" s="8">
        <v>0</v>
      </c>
      <c r="D19" s="8">
        <v>1</v>
      </c>
      <c r="E19" s="8">
        <v>2</v>
      </c>
      <c r="F19" s="8">
        <v>3</v>
      </c>
      <c r="G19" s="8">
        <v>4</v>
      </c>
      <c r="H19" s="8">
        <v>5</v>
      </c>
      <c r="I19" s="8">
        <v>6</v>
      </c>
      <c r="J19" s="8">
        <v>7</v>
      </c>
      <c r="K19" s="8">
        <v>8</v>
      </c>
      <c r="L19" s="8">
        <v>9</v>
      </c>
      <c r="M19" s="8">
        <v>10</v>
      </c>
      <c r="O19" t="s">
        <v>60</v>
      </c>
    </row>
    <row r="20" spans="2:16">
      <c r="B20" s="9">
        <v>0</v>
      </c>
      <c r="C20" s="25">
        <f>C$5+$C5-C5</f>
        <v>0</v>
      </c>
      <c r="D20" s="25">
        <f t="shared" ref="D20:M20" si="0">D$5+$C5-D5</f>
        <v>0</v>
      </c>
      <c r="E20" s="25">
        <f t="shared" si="0"/>
        <v>0</v>
      </c>
      <c r="F20" s="25">
        <f t="shared" si="0"/>
        <v>0</v>
      </c>
      <c r="G20" s="25">
        <f t="shared" si="0"/>
        <v>0</v>
      </c>
      <c r="H20" s="25">
        <f t="shared" si="0"/>
        <v>0</v>
      </c>
      <c r="I20" s="25">
        <f t="shared" si="0"/>
        <v>0</v>
      </c>
      <c r="J20" s="25">
        <f t="shared" si="0"/>
        <v>0</v>
      </c>
      <c r="K20" s="25">
        <f t="shared" si="0"/>
        <v>0</v>
      </c>
      <c r="L20" s="25">
        <f t="shared" si="0"/>
        <v>0</v>
      </c>
      <c r="M20" s="25">
        <f t="shared" si="0"/>
        <v>0</v>
      </c>
      <c r="O20" t="s">
        <v>61</v>
      </c>
    </row>
    <row r="21" spans="2:16">
      <c r="B21" s="9">
        <v>1</v>
      </c>
      <c r="C21" s="25">
        <f t="shared" ref="C21:M21" si="1">C$5+$C6-C6</f>
        <v>0</v>
      </c>
      <c r="D21" s="25">
        <v>0</v>
      </c>
      <c r="E21" s="25">
        <f t="shared" si="1"/>
        <v>18</v>
      </c>
      <c r="F21" s="25">
        <f t="shared" si="1"/>
        <v>10</v>
      </c>
      <c r="G21" s="25">
        <f t="shared" si="1"/>
        <v>-99999980</v>
      </c>
      <c r="H21" s="25">
        <f t="shared" si="1"/>
        <v>-6</v>
      </c>
      <c r="I21" s="25">
        <f t="shared" si="1"/>
        <v>-1</v>
      </c>
      <c r="J21" s="25">
        <f t="shared" si="1"/>
        <v>-99999981</v>
      </c>
      <c r="K21" s="25">
        <f t="shared" si="1"/>
        <v>7</v>
      </c>
      <c r="L21" s="25">
        <f t="shared" si="1"/>
        <v>17</v>
      </c>
      <c r="M21" s="25">
        <f t="shared" si="1"/>
        <v>-99999985</v>
      </c>
      <c r="O21" s="26">
        <f>INDEX(C5:M15,MATCH(O22,B5:B15,0),MATCH(P22,C4:M4,0))</f>
        <v>2</v>
      </c>
      <c r="P21">
        <v>35</v>
      </c>
    </row>
    <row r="22" spans="2:16">
      <c r="B22" s="9">
        <v>2</v>
      </c>
      <c r="C22" s="25">
        <f t="shared" ref="C22:M22" si="2">C$5+$C7-C7</f>
        <v>0</v>
      </c>
      <c r="D22" s="25">
        <f t="shared" si="2"/>
        <v>18</v>
      </c>
      <c r="E22" s="25">
        <v>0</v>
      </c>
      <c r="F22" s="25">
        <f t="shared" si="2"/>
        <v>7</v>
      </c>
      <c r="G22" s="25">
        <f t="shared" si="2"/>
        <v>21</v>
      </c>
      <c r="H22" s="25">
        <f t="shared" si="2"/>
        <v>2</v>
      </c>
      <c r="I22" s="25">
        <f t="shared" si="2"/>
        <v>-3</v>
      </c>
      <c r="J22" s="25">
        <f t="shared" si="2"/>
        <v>-99999977</v>
      </c>
      <c r="K22" s="25">
        <f t="shared" si="2"/>
        <v>14</v>
      </c>
      <c r="L22" s="25">
        <f t="shared" si="2"/>
        <v>11</v>
      </c>
      <c r="M22" s="25">
        <f t="shared" si="2"/>
        <v>16</v>
      </c>
      <c r="O22">
        <v>2</v>
      </c>
      <c r="P22">
        <v>4</v>
      </c>
    </row>
    <row r="23" spans="2:16">
      <c r="B23" s="9">
        <v>3</v>
      </c>
      <c r="C23" s="25">
        <f t="shared" ref="C23:M23" si="3">C$5+$C8-C8</f>
        <v>0</v>
      </c>
      <c r="D23" s="25">
        <f t="shared" si="3"/>
        <v>10</v>
      </c>
      <c r="E23" s="25">
        <f t="shared" si="3"/>
        <v>7</v>
      </c>
      <c r="F23" s="25">
        <v>0</v>
      </c>
      <c r="G23" s="25">
        <f t="shared" si="3"/>
        <v>10</v>
      </c>
      <c r="H23" s="25">
        <f t="shared" si="3"/>
        <v>-99999990</v>
      </c>
      <c r="I23" s="25">
        <f t="shared" si="3"/>
        <v>-11</v>
      </c>
      <c r="J23" s="25">
        <f t="shared" si="3"/>
        <v>-1</v>
      </c>
      <c r="K23" s="25">
        <f t="shared" si="3"/>
        <v>-5</v>
      </c>
      <c r="L23" s="25">
        <f t="shared" si="3"/>
        <v>6</v>
      </c>
      <c r="M23" s="25">
        <f t="shared" si="3"/>
        <v>-10</v>
      </c>
    </row>
    <row r="24" spans="2:16">
      <c r="B24" s="9">
        <v>4</v>
      </c>
      <c r="C24" s="25">
        <f t="shared" ref="C24:M24" si="4">C$5+$C9-C9</f>
        <v>0</v>
      </c>
      <c r="D24" s="25">
        <f t="shared" si="4"/>
        <v>-99999980</v>
      </c>
      <c r="E24" s="25">
        <f t="shared" si="4"/>
        <v>21</v>
      </c>
      <c r="F24" s="25">
        <f t="shared" si="4"/>
        <v>10</v>
      </c>
      <c r="G24" s="25">
        <v>0</v>
      </c>
      <c r="H24" s="25">
        <f t="shared" si="4"/>
        <v>5</v>
      </c>
      <c r="I24" s="25">
        <f t="shared" si="4"/>
        <v>5</v>
      </c>
      <c r="J24" s="25">
        <f t="shared" si="4"/>
        <v>-99999982</v>
      </c>
      <c r="K24" s="25">
        <f t="shared" si="4"/>
        <v>8</v>
      </c>
      <c r="L24" s="25">
        <f t="shared" si="4"/>
        <v>-99999979</v>
      </c>
      <c r="M24" s="25">
        <f t="shared" si="4"/>
        <v>-99999986</v>
      </c>
    </row>
    <row r="25" spans="2:16">
      <c r="B25" s="9">
        <v>5</v>
      </c>
      <c r="C25" s="25">
        <f t="shared" ref="C25:M25" si="5">C$5+$C10-C10</f>
        <v>0</v>
      </c>
      <c r="D25" s="25">
        <f t="shared" si="5"/>
        <v>-6</v>
      </c>
      <c r="E25" s="25">
        <f t="shared" si="5"/>
        <v>2</v>
      </c>
      <c r="F25" s="25">
        <f t="shared" si="5"/>
        <v>-99999990</v>
      </c>
      <c r="G25" s="25">
        <f t="shared" si="5"/>
        <v>5</v>
      </c>
      <c r="H25" s="25">
        <v>0</v>
      </c>
      <c r="I25" s="25">
        <f t="shared" si="5"/>
        <v>-2</v>
      </c>
      <c r="J25" s="25">
        <f t="shared" si="5"/>
        <v>-3</v>
      </c>
      <c r="K25" s="25">
        <f t="shared" si="5"/>
        <v>10</v>
      </c>
      <c r="L25" s="25">
        <f t="shared" si="5"/>
        <v>-7</v>
      </c>
      <c r="M25" s="25">
        <f t="shared" si="5"/>
        <v>8</v>
      </c>
    </row>
    <row r="26" spans="2:16">
      <c r="B26" s="9">
        <v>6</v>
      </c>
      <c r="C26" s="25">
        <f t="shared" ref="C26:M26" si="6">C$5+$C11-C11</f>
        <v>0</v>
      </c>
      <c r="D26" s="25">
        <f t="shared" si="6"/>
        <v>-1</v>
      </c>
      <c r="E26" s="25">
        <f t="shared" si="6"/>
        <v>-3</v>
      </c>
      <c r="F26" s="25">
        <f t="shared" si="6"/>
        <v>-11</v>
      </c>
      <c r="G26" s="25">
        <f t="shared" si="6"/>
        <v>5</v>
      </c>
      <c r="H26" s="25">
        <f t="shared" si="6"/>
        <v>-2</v>
      </c>
      <c r="I26" s="25">
        <v>0</v>
      </c>
      <c r="J26" s="25">
        <f t="shared" si="6"/>
        <v>3</v>
      </c>
      <c r="K26" s="25">
        <f t="shared" si="6"/>
        <v>-1</v>
      </c>
      <c r="L26" s="25">
        <f t="shared" si="6"/>
        <v>16</v>
      </c>
      <c r="M26" s="25">
        <f t="shared" si="6"/>
        <v>-8</v>
      </c>
    </row>
    <row r="27" spans="2:16">
      <c r="B27" s="9">
        <v>7</v>
      </c>
      <c r="C27" s="25">
        <f t="shared" ref="C27:M27" si="7">C$5+$C12-C12</f>
        <v>0</v>
      </c>
      <c r="D27" s="25">
        <f t="shared" si="7"/>
        <v>-99999981</v>
      </c>
      <c r="E27" s="25">
        <f t="shared" si="7"/>
        <v>-99999977</v>
      </c>
      <c r="F27" s="25">
        <f t="shared" si="7"/>
        <v>-1</v>
      </c>
      <c r="G27" s="25">
        <f t="shared" si="7"/>
        <v>-99999982</v>
      </c>
      <c r="H27" s="25">
        <f t="shared" si="7"/>
        <v>-3</v>
      </c>
      <c r="I27" s="25">
        <f t="shared" si="7"/>
        <v>3</v>
      </c>
      <c r="J27" s="25">
        <v>0</v>
      </c>
      <c r="K27" s="25">
        <f t="shared" si="7"/>
        <v>10</v>
      </c>
      <c r="L27" s="25">
        <f t="shared" si="7"/>
        <v>-99999980</v>
      </c>
      <c r="M27" s="25">
        <f t="shared" si="7"/>
        <v>6</v>
      </c>
    </row>
    <row r="28" spans="2:16">
      <c r="B28" s="9">
        <v>8</v>
      </c>
      <c r="C28" s="25">
        <f t="shared" ref="C28:M28" si="8">C$5+$C13-C13</f>
        <v>0</v>
      </c>
      <c r="D28" s="25">
        <f t="shared" si="8"/>
        <v>7</v>
      </c>
      <c r="E28" s="25">
        <f t="shared" si="8"/>
        <v>14</v>
      </c>
      <c r="F28" s="25">
        <f t="shared" si="8"/>
        <v>-5</v>
      </c>
      <c r="G28" s="25">
        <f t="shared" si="8"/>
        <v>8</v>
      </c>
      <c r="H28" s="25">
        <f t="shared" si="8"/>
        <v>10</v>
      </c>
      <c r="I28" s="25">
        <f t="shared" si="8"/>
        <v>-1</v>
      </c>
      <c r="J28" s="25">
        <f t="shared" si="8"/>
        <v>10</v>
      </c>
      <c r="K28" s="25">
        <v>0</v>
      </c>
      <c r="L28" s="25">
        <f t="shared" si="8"/>
        <v>6</v>
      </c>
      <c r="M28" s="25">
        <f t="shared" si="8"/>
        <v>1</v>
      </c>
    </row>
    <row r="29" spans="2:16">
      <c r="B29" s="9">
        <v>9</v>
      </c>
      <c r="C29" s="25">
        <f t="shared" ref="C29:M29" si="9">C$5+$C14-C14</f>
        <v>0</v>
      </c>
      <c r="D29" s="25">
        <f t="shared" si="9"/>
        <v>17</v>
      </c>
      <c r="E29" s="25">
        <f t="shared" si="9"/>
        <v>11</v>
      </c>
      <c r="F29" s="25">
        <f t="shared" si="9"/>
        <v>6</v>
      </c>
      <c r="G29" s="25">
        <f t="shared" si="9"/>
        <v>-99999979</v>
      </c>
      <c r="H29" s="25">
        <f t="shared" si="9"/>
        <v>-7</v>
      </c>
      <c r="I29" s="25">
        <f t="shared" si="9"/>
        <v>16</v>
      </c>
      <c r="J29" s="25">
        <f t="shared" si="9"/>
        <v>-99999980</v>
      </c>
      <c r="K29" s="25">
        <f t="shared" si="9"/>
        <v>6</v>
      </c>
      <c r="L29" s="25">
        <v>0</v>
      </c>
      <c r="M29" s="25">
        <f t="shared" si="9"/>
        <v>-99999984</v>
      </c>
    </row>
    <row r="30" spans="2:16">
      <c r="B30" s="9">
        <v>10</v>
      </c>
      <c r="C30" s="25">
        <f t="shared" ref="C30:M30" si="10">C$5+$C15-C15</f>
        <v>0</v>
      </c>
      <c r="D30" s="25">
        <f t="shared" si="10"/>
        <v>-99999985</v>
      </c>
      <c r="E30" s="25">
        <f t="shared" si="10"/>
        <v>16</v>
      </c>
      <c r="F30" s="25">
        <f t="shared" si="10"/>
        <v>-10</v>
      </c>
      <c r="G30" s="25">
        <f t="shared" si="10"/>
        <v>-99999986</v>
      </c>
      <c r="H30" s="25">
        <f t="shared" si="10"/>
        <v>8</v>
      </c>
      <c r="I30" s="25">
        <f t="shared" si="10"/>
        <v>-8</v>
      </c>
      <c r="J30" s="25">
        <f t="shared" si="10"/>
        <v>6</v>
      </c>
      <c r="K30" s="25">
        <f t="shared" si="10"/>
        <v>1</v>
      </c>
      <c r="L30" s="25">
        <f t="shared" si="10"/>
        <v>-99999984</v>
      </c>
      <c r="M30" s="25">
        <v>0</v>
      </c>
    </row>
    <row r="32" spans="2:16">
      <c r="B32" s="24" t="s">
        <v>63</v>
      </c>
    </row>
    <row r="34" spans="2:16">
      <c r="B34" s="7" t="s">
        <v>43</v>
      </c>
      <c r="C34" s="8">
        <v>0</v>
      </c>
      <c r="D34" s="8">
        <v>1</v>
      </c>
      <c r="E34" s="8">
        <v>2</v>
      </c>
      <c r="F34" s="8">
        <v>3</v>
      </c>
      <c r="G34" s="8">
        <v>4</v>
      </c>
      <c r="H34" s="8">
        <v>5</v>
      </c>
      <c r="I34" s="8">
        <v>6</v>
      </c>
      <c r="J34" s="8">
        <v>7</v>
      </c>
      <c r="K34" s="8">
        <v>8</v>
      </c>
      <c r="L34" s="8">
        <v>9</v>
      </c>
      <c r="M34" s="8">
        <v>10</v>
      </c>
      <c r="O34" t="s">
        <v>60</v>
      </c>
    </row>
    <row r="35" spans="2:16">
      <c r="B35" s="9">
        <v>0</v>
      </c>
      <c r="C35" s="25">
        <v>0</v>
      </c>
      <c r="D35" s="25">
        <v>0</v>
      </c>
      <c r="E35" s="25">
        <v>0</v>
      </c>
      <c r="F35" s="25">
        <v>0</v>
      </c>
      <c r="G35" s="25"/>
      <c r="H35" s="25">
        <v>0</v>
      </c>
      <c r="I35" s="25">
        <v>0</v>
      </c>
      <c r="J35" s="25">
        <v>0</v>
      </c>
      <c r="K35" s="25">
        <v>0</v>
      </c>
      <c r="L35" s="25">
        <v>0</v>
      </c>
      <c r="M35" s="25">
        <v>0</v>
      </c>
      <c r="O35" t="s">
        <v>62</v>
      </c>
    </row>
    <row r="36" spans="2:16">
      <c r="B36" s="9">
        <v>1</v>
      </c>
      <c r="C36" s="25">
        <v>0</v>
      </c>
      <c r="D36" s="25">
        <v>0</v>
      </c>
      <c r="E36" s="25">
        <v>18</v>
      </c>
      <c r="F36" s="25">
        <v>10</v>
      </c>
      <c r="G36" s="25"/>
      <c r="H36" s="25">
        <v>-6</v>
      </c>
      <c r="I36" s="25">
        <v>-1</v>
      </c>
      <c r="J36" s="25">
        <v>-99999981</v>
      </c>
      <c r="K36" s="25">
        <v>7</v>
      </c>
      <c r="L36" s="25">
        <v>17</v>
      </c>
      <c r="M36" s="25">
        <v>-99999985</v>
      </c>
      <c r="O36" s="26">
        <f>D5+E6+G7+C9</f>
        <v>27</v>
      </c>
      <c r="P36">
        <v>35</v>
      </c>
    </row>
    <row r="37" spans="2:16">
      <c r="B37" s="9">
        <v>2</v>
      </c>
      <c r="C37" s="25"/>
      <c r="D37" s="25"/>
      <c r="E37" s="25"/>
      <c r="F37" s="25"/>
      <c r="G37" s="25"/>
      <c r="H37" s="25"/>
      <c r="I37" s="25"/>
      <c r="J37" s="25"/>
      <c r="K37" s="25"/>
      <c r="L37" s="25"/>
      <c r="M37" s="25"/>
    </row>
    <row r="38" spans="2:16">
      <c r="B38" s="9">
        <v>3</v>
      </c>
      <c r="C38" s="25">
        <v>0</v>
      </c>
      <c r="D38" s="25">
        <v>10</v>
      </c>
      <c r="E38" s="25">
        <v>7</v>
      </c>
      <c r="F38" s="25">
        <v>0</v>
      </c>
      <c r="G38" s="25"/>
      <c r="H38" s="25">
        <v>-99999990</v>
      </c>
      <c r="I38" s="25">
        <v>-11</v>
      </c>
      <c r="J38" s="25">
        <v>-1</v>
      </c>
      <c r="K38" s="25">
        <v>-5</v>
      </c>
      <c r="L38" s="25">
        <v>6</v>
      </c>
      <c r="M38" s="25">
        <v>-10</v>
      </c>
    </row>
    <row r="39" spans="2:16">
      <c r="B39" s="9">
        <v>4</v>
      </c>
      <c r="C39" s="25">
        <v>0</v>
      </c>
      <c r="D39" s="25">
        <v>-99999980</v>
      </c>
      <c r="E39" s="25"/>
      <c r="F39" s="25">
        <v>10</v>
      </c>
      <c r="G39" s="25"/>
      <c r="H39" s="25">
        <v>5</v>
      </c>
      <c r="I39" s="25">
        <v>5</v>
      </c>
      <c r="J39" s="25">
        <v>-99999982</v>
      </c>
      <c r="K39" s="25">
        <v>8</v>
      </c>
      <c r="L39" s="25">
        <v>-99999979</v>
      </c>
      <c r="M39" s="25">
        <v>-99999986</v>
      </c>
    </row>
    <row r="40" spans="2:16">
      <c r="B40" s="9">
        <v>5</v>
      </c>
      <c r="C40" s="25">
        <v>0</v>
      </c>
      <c r="D40" s="25">
        <v>-6</v>
      </c>
      <c r="E40" s="25">
        <v>2</v>
      </c>
      <c r="F40" s="25">
        <v>-99999990</v>
      </c>
      <c r="G40" s="25"/>
      <c r="H40" s="25">
        <v>0</v>
      </c>
      <c r="I40" s="25">
        <v>-2</v>
      </c>
      <c r="J40" s="25">
        <v>-3</v>
      </c>
      <c r="K40" s="25">
        <v>10</v>
      </c>
      <c r="L40" s="25">
        <v>-7</v>
      </c>
      <c r="M40" s="25">
        <v>8</v>
      </c>
    </row>
    <row r="41" spans="2:16">
      <c r="B41" s="9">
        <v>6</v>
      </c>
      <c r="C41" s="25">
        <v>0</v>
      </c>
      <c r="D41" s="25">
        <v>-1</v>
      </c>
      <c r="E41" s="25">
        <v>-3</v>
      </c>
      <c r="F41" s="25">
        <v>-11</v>
      </c>
      <c r="G41" s="25"/>
      <c r="H41" s="25">
        <v>-2</v>
      </c>
      <c r="I41" s="25">
        <v>0</v>
      </c>
      <c r="J41" s="25">
        <v>3</v>
      </c>
      <c r="K41" s="25">
        <v>-1</v>
      </c>
      <c r="L41" s="25">
        <v>16</v>
      </c>
      <c r="M41" s="25">
        <v>-8</v>
      </c>
    </row>
    <row r="42" spans="2:16">
      <c r="B42" s="9">
        <v>7</v>
      </c>
      <c r="C42" s="25">
        <v>0</v>
      </c>
      <c r="D42" s="25">
        <v>-99999981</v>
      </c>
      <c r="E42" s="25">
        <v>-99999977</v>
      </c>
      <c r="F42" s="25">
        <v>-1</v>
      </c>
      <c r="G42" s="25"/>
      <c r="H42" s="25">
        <v>-3</v>
      </c>
      <c r="I42" s="25">
        <v>3</v>
      </c>
      <c r="J42" s="25">
        <v>0</v>
      </c>
      <c r="K42" s="25">
        <v>10</v>
      </c>
      <c r="L42" s="25">
        <v>-99999980</v>
      </c>
      <c r="M42" s="25">
        <v>6</v>
      </c>
    </row>
    <row r="43" spans="2:16">
      <c r="B43" s="9">
        <v>8</v>
      </c>
      <c r="C43" s="25">
        <v>0</v>
      </c>
      <c r="D43" s="25">
        <v>7</v>
      </c>
      <c r="E43" s="25">
        <v>14</v>
      </c>
      <c r="F43" s="25">
        <v>-5</v>
      </c>
      <c r="G43" s="25"/>
      <c r="H43" s="25">
        <v>10</v>
      </c>
      <c r="I43" s="25">
        <v>-1</v>
      </c>
      <c r="J43" s="25">
        <v>10</v>
      </c>
      <c r="K43" s="25">
        <v>0</v>
      </c>
      <c r="L43" s="25">
        <v>6</v>
      </c>
      <c r="M43" s="25">
        <v>1</v>
      </c>
    </row>
    <row r="44" spans="2:16">
      <c r="B44" s="9">
        <v>9</v>
      </c>
      <c r="C44" s="25">
        <v>0</v>
      </c>
      <c r="D44" s="25">
        <v>17</v>
      </c>
      <c r="E44" s="25">
        <v>11</v>
      </c>
      <c r="F44" s="25">
        <v>6</v>
      </c>
      <c r="G44" s="25"/>
      <c r="H44" s="25">
        <v>-7</v>
      </c>
      <c r="I44" s="25">
        <v>16</v>
      </c>
      <c r="J44" s="25">
        <v>-99999980</v>
      </c>
      <c r="K44" s="25">
        <v>6</v>
      </c>
      <c r="L44" s="25">
        <v>0</v>
      </c>
      <c r="M44" s="25">
        <v>-99999984</v>
      </c>
    </row>
    <row r="45" spans="2:16">
      <c r="B45" s="9">
        <v>10</v>
      </c>
      <c r="C45" s="25">
        <v>0</v>
      </c>
      <c r="D45" s="25">
        <v>-99999985</v>
      </c>
      <c r="E45" s="25">
        <v>16</v>
      </c>
      <c r="F45" s="25">
        <v>-10</v>
      </c>
      <c r="G45" s="25"/>
      <c r="H45" s="25">
        <v>8</v>
      </c>
      <c r="I45" s="25">
        <v>-8</v>
      </c>
      <c r="J45" s="25">
        <v>6</v>
      </c>
      <c r="K45" s="25">
        <v>1</v>
      </c>
      <c r="L45" s="25">
        <v>-99999984</v>
      </c>
      <c r="M45" s="25">
        <v>0</v>
      </c>
    </row>
    <row r="47" spans="2:16">
      <c r="B47" s="24" t="s">
        <v>63</v>
      </c>
    </row>
    <row r="49" spans="2:16">
      <c r="B49" s="7" t="s">
        <v>43</v>
      </c>
      <c r="C49" s="8">
        <v>0</v>
      </c>
      <c r="D49" s="8">
        <v>1</v>
      </c>
      <c r="E49" s="8">
        <v>2</v>
      </c>
      <c r="F49" s="8">
        <v>3</v>
      </c>
      <c r="G49" s="8">
        <v>4</v>
      </c>
      <c r="H49" s="8">
        <v>5</v>
      </c>
      <c r="I49" s="8">
        <v>6</v>
      </c>
      <c r="J49" s="8">
        <v>7</v>
      </c>
      <c r="K49" s="8">
        <v>8</v>
      </c>
      <c r="L49" s="8">
        <v>9</v>
      </c>
      <c r="M49" s="8">
        <v>10</v>
      </c>
      <c r="O49" t="s">
        <v>60</v>
      </c>
    </row>
    <row r="50" spans="2:16">
      <c r="B50" s="9">
        <v>0</v>
      </c>
      <c r="C50" s="25">
        <v>0</v>
      </c>
      <c r="D50" s="25">
        <v>0</v>
      </c>
      <c r="E50" s="25"/>
      <c r="F50" s="25">
        <v>0</v>
      </c>
      <c r="G50" s="25"/>
      <c r="H50" s="25">
        <v>0</v>
      </c>
      <c r="I50" s="25">
        <v>0</v>
      </c>
      <c r="J50" s="25">
        <v>0</v>
      </c>
      <c r="K50" s="25">
        <v>0</v>
      </c>
      <c r="L50" s="25">
        <v>0</v>
      </c>
      <c r="M50" s="25">
        <v>0</v>
      </c>
      <c r="O50" t="s">
        <v>64</v>
      </c>
    </row>
    <row r="51" spans="2:16">
      <c r="B51" s="9">
        <v>1</v>
      </c>
      <c r="C51" s="25"/>
      <c r="D51" s="25"/>
      <c r="E51" s="25"/>
      <c r="F51" s="25"/>
      <c r="G51" s="25"/>
      <c r="H51" s="25"/>
      <c r="I51" s="25"/>
      <c r="J51" s="25"/>
      <c r="K51" s="25"/>
      <c r="L51" s="25"/>
      <c r="M51" s="25"/>
      <c r="O51" s="26">
        <f>L5+D14+E6+G7+C9</f>
        <v>32</v>
      </c>
      <c r="P51">
        <v>35</v>
      </c>
    </row>
    <row r="52" spans="2:16">
      <c r="B52" s="9">
        <v>2</v>
      </c>
      <c r="C52" s="25"/>
      <c r="D52" s="25"/>
      <c r="E52" s="25"/>
      <c r="F52" s="25"/>
      <c r="G52" s="25"/>
      <c r="H52" s="25"/>
      <c r="I52" s="25"/>
      <c r="J52" s="25"/>
      <c r="K52" s="25"/>
      <c r="L52" s="25"/>
      <c r="M52" s="25"/>
    </row>
    <row r="53" spans="2:16">
      <c r="B53" s="9">
        <v>3</v>
      </c>
      <c r="C53" s="25">
        <v>0</v>
      </c>
      <c r="D53" s="25">
        <v>10</v>
      </c>
      <c r="E53" s="25"/>
      <c r="F53" s="25">
        <v>0</v>
      </c>
      <c r="G53" s="25"/>
      <c r="H53" s="25">
        <v>-99999990</v>
      </c>
      <c r="I53" s="25">
        <v>-11</v>
      </c>
      <c r="J53" s="25">
        <v>-1</v>
      </c>
      <c r="K53" s="25">
        <v>-5</v>
      </c>
      <c r="L53" s="25">
        <v>6</v>
      </c>
      <c r="M53" s="25">
        <v>-10</v>
      </c>
    </row>
    <row r="54" spans="2:16">
      <c r="B54" s="9">
        <v>4</v>
      </c>
      <c r="C54" s="25">
        <v>0</v>
      </c>
      <c r="D54" s="25">
        <v>-99999980</v>
      </c>
      <c r="E54" s="25"/>
      <c r="F54" s="25">
        <v>10</v>
      </c>
      <c r="G54" s="25"/>
      <c r="H54" s="25">
        <v>5</v>
      </c>
      <c r="I54" s="25">
        <v>5</v>
      </c>
      <c r="J54" s="25">
        <v>-99999982</v>
      </c>
      <c r="K54" s="25">
        <v>8</v>
      </c>
      <c r="L54" s="25">
        <v>-99999979</v>
      </c>
      <c r="M54" s="25">
        <v>-99999986</v>
      </c>
    </row>
    <row r="55" spans="2:16">
      <c r="B55" s="9">
        <v>5</v>
      </c>
      <c r="C55" s="25">
        <v>0</v>
      </c>
      <c r="D55" s="25">
        <v>-6</v>
      </c>
      <c r="E55" s="25"/>
      <c r="F55" s="25">
        <v>-99999990</v>
      </c>
      <c r="G55" s="25"/>
      <c r="H55" s="25">
        <v>0</v>
      </c>
      <c r="I55" s="25">
        <v>-2</v>
      </c>
      <c r="J55" s="25">
        <v>-3</v>
      </c>
      <c r="K55" s="25">
        <v>10</v>
      </c>
      <c r="L55" s="25">
        <v>-7</v>
      </c>
      <c r="M55" s="25">
        <v>8</v>
      </c>
    </row>
    <row r="56" spans="2:16">
      <c r="B56" s="9">
        <v>6</v>
      </c>
      <c r="C56" s="25">
        <v>0</v>
      </c>
      <c r="D56" s="25">
        <v>-1</v>
      </c>
      <c r="E56" s="25"/>
      <c r="F56" s="25">
        <v>-11</v>
      </c>
      <c r="G56" s="25"/>
      <c r="H56" s="25">
        <v>-2</v>
      </c>
      <c r="I56" s="25">
        <v>0</v>
      </c>
      <c r="J56" s="25">
        <v>3</v>
      </c>
      <c r="K56" s="25">
        <v>-1</v>
      </c>
      <c r="L56" s="25">
        <v>16</v>
      </c>
      <c r="M56" s="25">
        <v>-8</v>
      </c>
    </row>
    <row r="57" spans="2:16">
      <c r="B57" s="9">
        <v>7</v>
      </c>
      <c r="C57" s="25">
        <v>0</v>
      </c>
      <c r="D57" s="25">
        <v>-99999981</v>
      </c>
      <c r="E57" s="25"/>
      <c r="F57" s="25">
        <v>-1</v>
      </c>
      <c r="G57" s="25"/>
      <c r="H57" s="25">
        <v>-3</v>
      </c>
      <c r="I57" s="25">
        <v>3</v>
      </c>
      <c r="J57" s="25">
        <v>0</v>
      </c>
      <c r="K57" s="25">
        <v>10</v>
      </c>
      <c r="L57" s="25">
        <v>-99999980</v>
      </c>
      <c r="M57" s="25">
        <v>6</v>
      </c>
    </row>
    <row r="58" spans="2:16">
      <c r="B58" s="9">
        <v>8</v>
      </c>
      <c r="C58" s="25">
        <v>0</v>
      </c>
      <c r="D58" s="25">
        <v>7</v>
      </c>
      <c r="E58" s="25"/>
      <c r="F58" s="25">
        <v>-5</v>
      </c>
      <c r="G58" s="25"/>
      <c r="H58" s="25">
        <v>10</v>
      </c>
      <c r="I58" s="25">
        <v>-1</v>
      </c>
      <c r="J58" s="25">
        <v>10</v>
      </c>
      <c r="K58" s="25">
        <v>0</v>
      </c>
      <c r="L58" s="25">
        <v>6</v>
      </c>
      <c r="M58" s="25">
        <v>1</v>
      </c>
    </row>
    <row r="59" spans="2:16">
      <c r="B59" s="9">
        <v>9</v>
      </c>
      <c r="C59" s="25">
        <v>0</v>
      </c>
      <c r="D59" s="25">
        <v>17</v>
      </c>
      <c r="E59" s="25"/>
      <c r="F59" s="25">
        <v>6</v>
      </c>
      <c r="G59" s="25"/>
      <c r="H59" s="25">
        <v>-7</v>
      </c>
      <c r="I59" s="25">
        <v>16</v>
      </c>
      <c r="J59" s="25">
        <v>-99999980</v>
      </c>
      <c r="K59" s="25">
        <v>6</v>
      </c>
      <c r="L59" s="25">
        <v>0</v>
      </c>
      <c r="M59" s="25">
        <v>-99999984</v>
      </c>
    </row>
    <row r="60" spans="2:16">
      <c r="B60" s="9">
        <v>10</v>
      </c>
      <c r="C60" s="25">
        <v>0</v>
      </c>
      <c r="D60" s="25">
        <v>-99999985</v>
      </c>
      <c r="E60" s="25"/>
      <c r="F60" s="25">
        <v>-10</v>
      </c>
      <c r="G60" s="25"/>
      <c r="H60" s="25">
        <v>8</v>
      </c>
      <c r="I60" s="25">
        <v>-8</v>
      </c>
      <c r="J60" s="25">
        <v>6</v>
      </c>
      <c r="K60" s="25">
        <v>1</v>
      </c>
      <c r="L60" s="25">
        <v>-99999984</v>
      </c>
      <c r="M60" s="25">
        <v>0</v>
      </c>
    </row>
    <row r="62" spans="2:16">
      <c r="B62" s="24" t="s">
        <v>63</v>
      </c>
    </row>
    <row r="64" spans="2:16">
      <c r="B64" s="7" t="s">
        <v>43</v>
      </c>
      <c r="C64" s="8">
        <v>0</v>
      </c>
      <c r="D64" s="8">
        <v>1</v>
      </c>
      <c r="E64" s="8">
        <v>2</v>
      </c>
      <c r="F64" s="8">
        <v>3</v>
      </c>
      <c r="G64" s="8">
        <v>4</v>
      </c>
      <c r="H64" s="8">
        <v>5</v>
      </c>
      <c r="I64" s="8">
        <v>6</v>
      </c>
      <c r="J64" s="8">
        <v>7</v>
      </c>
      <c r="K64" s="8">
        <v>8</v>
      </c>
      <c r="L64" s="8">
        <v>9</v>
      </c>
      <c r="M64" s="8">
        <v>10</v>
      </c>
      <c r="O64" t="s">
        <v>60</v>
      </c>
    </row>
    <row r="65" spans="2:16">
      <c r="B65" s="9">
        <v>0</v>
      </c>
      <c r="C65" s="25">
        <v>0</v>
      </c>
      <c r="D65" s="25"/>
      <c r="E65" s="25"/>
      <c r="F65" s="25">
        <v>0</v>
      </c>
      <c r="G65" s="25"/>
      <c r="H65" s="25">
        <v>0</v>
      </c>
      <c r="I65" s="25">
        <v>0</v>
      </c>
      <c r="J65" s="25">
        <v>0</v>
      </c>
      <c r="K65" s="25">
        <v>0</v>
      </c>
      <c r="L65" s="25">
        <v>0</v>
      </c>
      <c r="M65" s="25">
        <v>0</v>
      </c>
      <c r="O65" t="s">
        <v>65</v>
      </c>
    </row>
    <row r="66" spans="2:16">
      <c r="B66" s="9">
        <v>1</v>
      </c>
      <c r="C66" s="25"/>
      <c r="D66" s="25"/>
      <c r="E66" s="25"/>
      <c r="F66" s="25"/>
      <c r="G66" s="25"/>
      <c r="H66" s="25"/>
      <c r="I66" s="25"/>
      <c r="J66" s="25"/>
      <c r="K66" s="25"/>
      <c r="L66" s="25"/>
      <c r="M66" s="25"/>
      <c r="O66" s="26">
        <f>I5+L11+D14+E6+G7+C9</f>
        <v>30</v>
      </c>
      <c r="P66">
        <v>35</v>
      </c>
    </row>
    <row r="67" spans="2:16">
      <c r="B67" s="9">
        <v>2</v>
      </c>
      <c r="C67" s="25"/>
      <c r="D67" s="25"/>
      <c r="E67" s="25"/>
      <c r="F67" s="25"/>
      <c r="G67" s="25"/>
      <c r="H67" s="25"/>
      <c r="I67" s="25"/>
      <c r="J67" s="25"/>
      <c r="K67" s="25"/>
      <c r="L67" s="25"/>
      <c r="M67" s="25"/>
    </row>
    <row r="68" spans="2:16">
      <c r="B68" s="9">
        <v>3</v>
      </c>
      <c r="C68" s="25">
        <v>0</v>
      </c>
      <c r="D68" s="25"/>
      <c r="E68" s="25"/>
      <c r="F68" s="25">
        <v>0</v>
      </c>
      <c r="G68" s="25"/>
      <c r="H68" s="25">
        <v>-99999990</v>
      </c>
      <c r="I68" s="25">
        <v>-11</v>
      </c>
      <c r="J68" s="25">
        <v>-1</v>
      </c>
      <c r="K68" s="25">
        <v>-5</v>
      </c>
      <c r="L68" s="25">
        <v>6</v>
      </c>
      <c r="M68" s="25">
        <v>-10</v>
      </c>
    </row>
    <row r="69" spans="2:16">
      <c r="B69" s="9">
        <v>4</v>
      </c>
      <c r="C69" s="25">
        <v>0</v>
      </c>
      <c r="D69" s="25"/>
      <c r="E69" s="25"/>
      <c r="F69" s="25">
        <v>10</v>
      </c>
      <c r="G69" s="25"/>
      <c r="H69" s="25">
        <v>5</v>
      </c>
      <c r="I69" s="25">
        <v>5</v>
      </c>
      <c r="J69" s="25">
        <v>-99999982</v>
      </c>
      <c r="K69" s="25">
        <v>8</v>
      </c>
      <c r="L69" s="25">
        <v>-99999979</v>
      </c>
      <c r="M69" s="25">
        <v>-99999986</v>
      </c>
    </row>
    <row r="70" spans="2:16">
      <c r="B70" s="9">
        <v>5</v>
      </c>
      <c r="C70" s="25">
        <v>0</v>
      </c>
      <c r="D70" s="25"/>
      <c r="E70" s="25"/>
      <c r="F70" s="25">
        <v>-99999990</v>
      </c>
      <c r="G70" s="25"/>
      <c r="H70" s="25">
        <v>0</v>
      </c>
      <c r="I70" s="25">
        <v>-2</v>
      </c>
      <c r="J70" s="25">
        <v>-3</v>
      </c>
      <c r="K70" s="25">
        <v>10</v>
      </c>
      <c r="L70" s="25">
        <v>-7</v>
      </c>
      <c r="M70" s="25">
        <v>8</v>
      </c>
    </row>
    <row r="71" spans="2:16">
      <c r="B71" s="9">
        <v>6</v>
      </c>
      <c r="C71" s="25">
        <v>0</v>
      </c>
      <c r="D71" s="25"/>
      <c r="E71" s="25"/>
      <c r="F71" s="25">
        <v>-11</v>
      </c>
      <c r="G71" s="25"/>
      <c r="H71" s="25">
        <v>-2</v>
      </c>
      <c r="I71" s="25">
        <v>0</v>
      </c>
      <c r="J71" s="25">
        <v>3</v>
      </c>
      <c r="K71" s="25">
        <v>-1</v>
      </c>
      <c r="L71" s="25">
        <v>16</v>
      </c>
      <c r="M71" s="25">
        <v>-8</v>
      </c>
    </row>
    <row r="72" spans="2:16">
      <c r="B72" s="9">
        <v>7</v>
      </c>
      <c r="C72" s="25">
        <v>0</v>
      </c>
      <c r="D72" s="25"/>
      <c r="E72" s="25"/>
      <c r="F72" s="25">
        <v>-1</v>
      </c>
      <c r="G72" s="25"/>
      <c r="H72" s="25">
        <v>-3</v>
      </c>
      <c r="I72" s="25">
        <v>3</v>
      </c>
      <c r="J72" s="25">
        <v>0</v>
      </c>
      <c r="K72" s="25">
        <v>10</v>
      </c>
      <c r="L72" s="25">
        <v>-99999980</v>
      </c>
      <c r="M72" s="25">
        <v>6</v>
      </c>
    </row>
    <row r="73" spans="2:16">
      <c r="B73" s="9">
        <v>8</v>
      </c>
      <c r="C73" s="25">
        <v>0</v>
      </c>
      <c r="D73" s="25"/>
      <c r="E73" s="25"/>
      <c r="F73" s="25">
        <v>-5</v>
      </c>
      <c r="G73" s="25"/>
      <c r="H73" s="25">
        <v>10</v>
      </c>
      <c r="I73" s="25">
        <v>-1</v>
      </c>
      <c r="J73" s="25">
        <v>10</v>
      </c>
      <c r="K73" s="25">
        <v>0</v>
      </c>
      <c r="L73" s="25">
        <v>6</v>
      </c>
      <c r="M73" s="25">
        <v>1</v>
      </c>
    </row>
    <row r="74" spans="2:16">
      <c r="B74" s="9">
        <v>9</v>
      </c>
      <c r="C74" s="25"/>
      <c r="D74" s="25"/>
      <c r="E74" s="25"/>
      <c r="F74" s="25"/>
      <c r="G74" s="25"/>
      <c r="H74" s="25"/>
      <c r="I74" s="25"/>
      <c r="J74" s="25"/>
      <c r="K74" s="25"/>
      <c r="L74" s="25"/>
      <c r="M74" s="25"/>
    </row>
    <row r="75" spans="2:16">
      <c r="B75" s="9">
        <v>10</v>
      </c>
      <c r="C75" s="25">
        <v>0</v>
      </c>
      <c r="D75" s="25"/>
      <c r="E75" s="25"/>
      <c r="F75" s="25">
        <v>-10</v>
      </c>
      <c r="G75" s="25"/>
      <c r="H75" s="25">
        <v>8</v>
      </c>
      <c r="I75" s="25">
        <v>-8</v>
      </c>
      <c r="J75" s="25">
        <v>6</v>
      </c>
      <c r="K75" s="25">
        <v>1</v>
      </c>
      <c r="L75" s="25">
        <v>-99999984</v>
      </c>
      <c r="M75" s="25">
        <v>0</v>
      </c>
    </row>
    <row r="77" spans="2:16">
      <c r="B77" s="24" t="s">
        <v>63</v>
      </c>
    </row>
    <row r="79" spans="2:16">
      <c r="B79" s="7" t="s">
        <v>43</v>
      </c>
      <c r="C79" s="8">
        <v>0</v>
      </c>
      <c r="D79" s="8">
        <v>1</v>
      </c>
      <c r="E79" s="8">
        <v>2</v>
      </c>
      <c r="F79" s="8">
        <v>3</v>
      </c>
      <c r="G79" s="8">
        <v>4</v>
      </c>
      <c r="H79" s="8">
        <v>5</v>
      </c>
      <c r="I79" s="8">
        <v>6</v>
      </c>
      <c r="J79" s="8">
        <v>7</v>
      </c>
      <c r="K79" s="8">
        <v>8</v>
      </c>
      <c r="L79" s="8">
        <v>9</v>
      </c>
      <c r="M79" s="8">
        <v>10</v>
      </c>
      <c r="O79" t="s">
        <v>60</v>
      </c>
    </row>
    <row r="80" spans="2:16">
      <c r="B80" s="9">
        <v>0</v>
      </c>
      <c r="C80" s="25">
        <v>0</v>
      </c>
      <c r="D80" s="25"/>
      <c r="E80" s="25"/>
      <c r="F80" s="25">
        <v>0</v>
      </c>
      <c r="G80" s="25"/>
      <c r="H80" s="25">
        <v>0</v>
      </c>
      <c r="I80" s="25">
        <v>0</v>
      </c>
      <c r="J80" s="25">
        <v>0</v>
      </c>
      <c r="K80" s="25">
        <v>0</v>
      </c>
      <c r="L80" s="25"/>
      <c r="M80" s="25">
        <v>0</v>
      </c>
      <c r="O80" t="s">
        <v>66</v>
      </c>
    </row>
    <row r="81" spans="2:16">
      <c r="B81" s="9">
        <v>1</v>
      </c>
      <c r="C81" s="25"/>
      <c r="D81" s="25"/>
      <c r="E81" s="25"/>
      <c r="F81" s="25"/>
      <c r="G81" s="25"/>
      <c r="H81" s="25"/>
      <c r="I81" s="25"/>
      <c r="J81" s="25"/>
      <c r="K81" s="25"/>
      <c r="L81" s="25"/>
      <c r="M81" s="25"/>
      <c r="O81" s="26">
        <f>I5+L11+D14+E6+G7+F9+C8</f>
        <v>28</v>
      </c>
      <c r="P81">
        <v>35</v>
      </c>
    </row>
    <row r="82" spans="2:16">
      <c r="B82" s="9">
        <v>2</v>
      </c>
      <c r="C82" s="25"/>
      <c r="D82" s="25"/>
      <c r="E82" s="25"/>
      <c r="F82" s="25"/>
      <c r="G82" s="25"/>
      <c r="H82" s="25"/>
      <c r="I82" s="25"/>
      <c r="J82" s="25"/>
      <c r="K82" s="25"/>
      <c r="L82" s="25"/>
      <c r="M82" s="25"/>
    </row>
    <row r="83" spans="2:16">
      <c r="B83" s="9">
        <v>3</v>
      </c>
      <c r="C83" s="25">
        <v>0</v>
      </c>
      <c r="D83" s="25"/>
      <c r="E83" s="25"/>
      <c r="F83" s="25">
        <v>0</v>
      </c>
      <c r="G83" s="25"/>
      <c r="H83" s="25">
        <v>-99999990</v>
      </c>
      <c r="I83" s="25">
        <v>-11</v>
      </c>
      <c r="J83" s="25">
        <v>-1</v>
      </c>
      <c r="K83" s="25">
        <v>-5</v>
      </c>
      <c r="L83" s="25"/>
      <c r="M83" s="25">
        <v>-10</v>
      </c>
    </row>
    <row r="84" spans="2:16">
      <c r="B84" s="9">
        <v>4</v>
      </c>
      <c r="C84" s="25">
        <v>0</v>
      </c>
      <c r="D84" s="25"/>
      <c r="E84" s="25"/>
      <c r="F84" s="25">
        <v>10</v>
      </c>
      <c r="G84" s="25"/>
      <c r="H84" s="25">
        <v>5</v>
      </c>
      <c r="I84" s="25">
        <v>5</v>
      </c>
      <c r="J84" s="25">
        <v>-99999982</v>
      </c>
      <c r="K84" s="25">
        <v>8</v>
      </c>
      <c r="L84" s="25"/>
      <c r="M84" s="25">
        <v>-99999986</v>
      </c>
    </row>
    <row r="85" spans="2:16">
      <c r="B85" s="9">
        <v>5</v>
      </c>
      <c r="C85" s="25">
        <v>0</v>
      </c>
      <c r="D85" s="25"/>
      <c r="E85" s="25"/>
      <c r="F85" s="25">
        <v>-99999990</v>
      </c>
      <c r="G85" s="25"/>
      <c r="H85" s="25">
        <v>0</v>
      </c>
      <c r="I85" s="25">
        <v>-2</v>
      </c>
      <c r="J85" s="25">
        <v>-3</v>
      </c>
      <c r="K85" s="25">
        <v>10</v>
      </c>
      <c r="L85" s="25"/>
      <c r="M85" s="25">
        <v>8</v>
      </c>
    </row>
    <row r="86" spans="2:16">
      <c r="B86" s="9">
        <v>6</v>
      </c>
      <c r="C86" s="25"/>
      <c r="D86" s="25"/>
      <c r="E86" s="25"/>
      <c r="F86" s="25"/>
      <c r="G86" s="25"/>
      <c r="H86" s="25"/>
      <c r="I86" s="25"/>
      <c r="J86" s="25"/>
      <c r="K86" s="25"/>
      <c r="L86" s="25"/>
      <c r="M86" s="25"/>
    </row>
    <row r="87" spans="2:16">
      <c r="B87" s="9">
        <v>7</v>
      </c>
      <c r="C87" s="25">
        <v>0</v>
      </c>
      <c r="D87" s="25"/>
      <c r="E87" s="25"/>
      <c r="F87" s="25">
        <v>-1</v>
      </c>
      <c r="G87" s="25"/>
      <c r="H87" s="25">
        <v>-3</v>
      </c>
      <c r="I87" s="25">
        <v>3</v>
      </c>
      <c r="J87" s="25">
        <v>0</v>
      </c>
      <c r="K87" s="25">
        <v>10</v>
      </c>
      <c r="L87" s="25"/>
      <c r="M87" s="25">
        <v>6</v>
      </c>
    </row>
    <row r="88" spans="2:16">
      <c r="B88" s="9">
        <v>8</v>
      </c>
      <c r="C88" s="25">
        <v>0</v>
      </c>
      <c r="D88" s="25"/>
      <c r="E88" s="25"/>
      <c r="F88" s="25">
        <v>-5</v>
      </c>
      <c r="G88" s="25"/>
      <c r="H88" s="25">
        <v>10</v>
      </c>
      <c r="I88" s="25">
        <v>-1</v>
      </c>
      <c r="J88" s="25">
        <v>10</v>
      </c>
      <c r="K88" s="25">
        <v>0</v>
      </c>
      <c r="L88" s="25"/>
      <c r="M88" s="25">
        <v>1</v>
      </c>
    </row>
    <row r="89" spans="2:16">
      <c r="B89" s="9">
        <v>9</v>
      </c>
      <c r="C89" s="25"/>
      <c r="D89" s="25"/>
      <c r="E89" s="25"/>
      <c r="F89" s="25"/>
      <c r="G89" s="25"/>
      <c r="H89" s="25"/>
      <c r="I89" s="25"/>
      <c r="J89" s="25"/>
      <c r="K89" s="25"/>
      <c r="L89" s="25"/>
      <c r="M89" s="25"/>
    </row>
    <row r="90" spans="2:16">
      <c r="B90" s="9">
        <v>10</v>
      </c>
      <c r="C90" s="25">
        <v>0</v>
      </c>
      <c r="D90" s="25"/>
      <c r="E90" s="25"/>
      <c r="F90" s="25">
        <v>-10</v>
      </c>
      <c r="G90" s="25"/>
      <c r="H90" s="25">
        <v>8</v>
      </c>
      <c r="I90" s="25">
        <v>-8</v>
      </c>
      <c r="J90" s="25">
        <v>6</v>
      </c>
      <c r="K90" s="25">
        <v>1</v>
      </c>
      <c r="L90" s="25"/>
      <c r="M90" s="25">
        <v>0</v>
      </c>
    </row>
    <row r="92" spans="2:16">
      <c r="B92" s="24" t="s">
        <v>63</v>
      </c>
    </row>
    <row r="94" spans="2:16">
      <c r="B94" s="7" t="s">
        <v>43</v>
      </c>
      <c r="C94" s="8">
        <v>0</v>
      </c>
      <c r="D94" s="8">
        <v>1</v>
      </c>
      <c r="E94" s="8">
        <v>2</v>
      </c>
      <c r="F94" s="8">
        <v>3</v>
      </c>
      <c r="G94" s="8">
        <v>4</v>
      </c>
      <c r="H94" s="8">
        <v>5</v>
      </c>
      <c r="I94" s="8">
        <v>6</v>
      </c>
      <c r="J94" s="8">
        <v>7</v>
      </c>
      <c r="K94" s="8">
        <v>8</v>
      </c>
      <c r="L94" s="8">
        <v>9</v>
      </c>
      <c r="M94" s="8">
        <v>10</v>
      </c>
      <c r="O94" t="s">
        <v>60</v>
      </c>
    </row>
    <row r="95" spans="2:16">
      <c r="B95" s="9">
        <v>0</v>
      </c>
      <c r="C95" s="25">
        <v>0</v>
      </c>
      <c r="D95" s="25"/>
      <c r="E95" s="25"/>
      <c r="F95" s="25"/>
      <c r="G95" s="25"/>
      <c r="H95" s="25">
        <v>0</v>
      </c>
      <c r="I95" s="25">
        <v>0</v>
      </c>
      <c r="J95" s="25">
        <v>0</v>
      </c>
      <c r="K95" s="25">
        <v>0</v>
      </c>
      <c r="L95" s="25"/>
      <c r="M95" s="25">
        <v>0</v>
      </c>
      <c r="O95" t="s">
        <v>67</v>
      </c>
    </row>
    <row r="96" spans="2:16">
      <c r="B96" s="9">
        <v>1</v>
      </c>
      <c r="C96" s="25"/>
      <c r="D96" s="25"/>
      <c r="E96" s="25"/>
      <c r="F96" s="25"/>
      <c r="G96" s="25"/>
      <c r="H96" s="25"/>
      <c r="I96" s="25"/>
      <c r="J96" s="25"/>
      <c r="K96" s="25"/>
      <c r="L96" s="25"/>
      <c r="M96" s="25"/>
      <c r="O96" s="26">
        <f>H5+K10+C13</f>
        <v>18</v>
      </c>
      <c r="P96">
        <v>35</v>
      </c>
    </row>
    <row r="97" spans="2:16">
      <c r="B97" s="9">
        <v>2</v>
      </c>
      <c r="C97" s="25"/>
      <c r="D97" s="25"/>
      <c r="E97" s="25"/>
      <c r="F97" s="25"/>
      <c r="G97" s="25"/>
      <c r="H97" s="25"/>
      <c r="I97" s="25"/>
      <c r="J97" s="25"/>
      <c r="K97" s="25"/>
      <c r="L97" s="25"/>
      <c r="M97" s="25"/>
    </row>
    <row r="98" spans="2:16">
      <c r="B98" s="9">
        <v>3</v>
      </c>
      <c r="C98" s="25">
        <v>0</v>
      </c>
      <c r="D98" s="25"/>
      <c r="E98" s="25"/>
      <c r="F98" s="25"/>
      <c r="G98" s="25"/>
      <c r="H98" s="25">
        <v>-99999990</v>
      </c>
      <c r="I98" s="25">
        <v>-11</v>
      </c>
      <c r="J98" s="25">
        <v>-1</v>
      </c>
      <c r="K98" s="25">
        <v>-5</v>
      </c>
      <c r="L98" s="25"/>
      <c r="M98" s="25">
        <v>-10</v>
      </c>
    </row>
    <row r="99" spans="2:16">
      <c r="B99" s="9">
        <v>4</v>
      </c>
      <c r="C99" s="25"/>
      <c r="D99" s="25"/>
      <c r="E99" s="25"/>
      <c r="F99" s="25"/>
      <c r="G99" s="25"/>
      <c r="H99" s="25"/>
      <c r="I99" s="25"/>
      <c r="J99" s="25"/>
      <c r="K99" s="25"/>
      <c r="L99" s="25"/>
      <c r="M99" s="25"/>
    </row>
    <row r="100" spans="2:16">
      <c r="B100" s="9">
        <v>5</v>
      </c>
      <c r="C100" s="25">
        <v>0</v>
      </c>
      <c r="D100" s="25"/>
      <c r="E100" s="25"/>
      <c r="F100" s="25"/>
      <c r="G100" s="25"/>
      <c r="H100" s="25">
        <v>0</v>
      </c>
      <c r="I100" s="25">
        <v>-2</v>
      </c>
      <c r="J100" s="25">
        <v>-3</v>
      </c>
      <c r="K100" s="25">
        <v>10</v>
      </c>
      <c r="L100" s="25"/>
      <c r="M100" s="25">
        <v>8</v>
      </c>
    </row>
    <row r="101" spans="2:16">
      <c r="B101" s="9">
        <v>6</v>
      </c>
      <c r="C101" s="25"/>
      <c r="D101" s="25"/>
      <c r="E101" s="25"/>
      <c r="F101" s="25"/>
      <c r="G101" s="25"/>
      <c r="H101" s="25"/>
      <c r="I101" s="25"/>
      <c r="J101" s="25"/>
      <c r="K101" s="25"/>
      <c r="L101" s="25"/>
      <c r="M101" s="25"/>
    </row>
    <row r="102" spans="2:16">
      <c r="B102" s="9">
        <v>7</v>
      </c>
      <c r="C102" s="25">
        <v>0</v>
      </c>
      <c r="D102" s="25"/>
      <c r="E102" s="25"/>
      <c r="F102" s="25"/>
      <c r="G102" s="25"/>
      <c r="H102" s="25">
        <v>-3</v>
      </c>
      <c r="I102" s="25">
        <v>3</v>
      </c>
      <c r="J102" s="25">
        <v>0</v>
      </c>
      <c r="K102" s="25">
        <v>10</v>
      </c>
      <c r="L102" s="25"/>
      <c r="M102" s="25">
        <v>6</v>
      </c>
    </row>
    <row r="103" spans="2:16">
      <c r="B103" s="9">
        <v>8</v>
      </c>
      <c r="C103" s="25">
        <v>0</v>
      </c>
      <c r="D103" s="25"/>
      <c r="E103" s="25"/>
      <c r="F103" s="25"/>
      <c r="G103" s="25"/>
      <c r="H103" s="25">
        <v>10</v>
      </c>
      <c r="I103" s="25">
        <v>-1</v>
      </c>
      <c r="J103" s="25">
        <v>10</v>
      </c>
      <c r="K103" s="25">
        <v>0</v>
      </c>
      <c r="L103" s="25"/>
      <c r="M103" s="25">
        <v>1</v>
      </c>
    </row>
    <row r="104" spans="2:16">
      <c r="B104" s="9">
        <v>9</v>
      </c>
      <c r="C104" s="25"/>
      <c r="D104" s="25"/>
      <c r="E104" s="25"/>
      <c r="F104" s="25"/>
      <c r="G104" s="25"/>
      <c r="H104" s="25"/>
      <c r="I104" s="25"/>
      <c r="J104" s="25"/>
      <c r="K104" s="25"/>
      <c r="L104" s="25"/>
      <c r="M104" s="25"/>
    </row>
    <row r="105" spans="2:16">
      <c r="B105" s="9">
        <v>10</v>
      </c>
      <c r="C105" s="25">
        <v>0</v>
      </c>
      <c r="D105" s="25"/>
      <c r="E105" s="25"/>
      <c r="F105" s="25"/>
      <c r="G105" s="25"/>
      <c r="H105" s="25">
        <v>8</v>
      </c>
      <c r="I105" s="25">
        <v>-8</v>
      </c>
      <c r="J105" s="25">
        <v>6</v>
      </c>
      <c r="K105" s="25">
        <v>1</v>
      </c>
      <c r="L105" s="25"/>
      <c r="M105" s="25">
        <v>0</v>
      </c>
    </row>
    <row r="107" spans="2:16">
      <c r="B107" s="24" t="s">
        <v>63</v>
      </c>
    </row>
    <row r="109" spans="2:16">
      <c r="B109" s="7" t="s">
        <v>43</v>
      </c>
      <c r="C109" s="8">
        <v>0</v>
      </c>
      <c r="D109" s="8">
        <v>1</v>
      </c>
      <c r="E109" s="8">
        <v>2</v>
      </c>
      <c r="F109" s="8">
        <v>3</v>
      </c>
      <c r="G109" s="8">
        <v>4</v>
      </c>
      <c r="H109" s="8">
        <v>5</v>
      </c>
      <c r="I109" s="8">
        <v>6</v>
      </c>
      <c r="J109" s="8">
        <v>7</v>
      </c>
      <c r="K109" s="8">
        <v>8</v>
      </c>
      <c r="L109" s="8">
        <v>9</v>
      </c>
      <c r="M109" s="8">
        <v>10</v>
      </c>
      <c r="O109" t="s">
        <v>60</v>
      </c>
    </row>
    <row r="110" spans="2:16">
      <c r="B110" s="9">
        <v>0</v>
      </c>
      <c r="C110" s="25">
        <v>0</v>
      </c>
      <c r="D110" s="25"/>
      <c r="E110" s="25"/>
      <c r="F110" s="25"/>
      <c r="G110" s="25"/>
      <c r="H110" s="25">
        <v>0</v>
      </c>
      <c r="I110" s="25">
        <v>0</v>
      </c>
      <c r="J110" s="25">
        <v>0</v>
      </c>
      <c r="K110" s="25"/>
      <c r="L110" s="25"/>
      <c r="M110" s="25">
        <v>0</v>
      </c>
      <c r="O110" t="s">
        <v>68</v>
      </c>
    </row>
    <row r="111" spans="2:16">
      <c r="B111" s="9">
        <v>1</v>
      </c>
      <c r="C111" s="25"/>
      <c r="D111" s="25"/>
      <c r="E111" s="25"/>
      <c r="F111" s="25"/>
      <c r="G111" s="25"/>
      <c r="H111" s="25"/>
      <c r="I111" s="25"/>
      <c r="J111" s="25"/>
      <c r="K111" s="25"/>
      <c r="L111" s="25"/>
      <c r="M111" s="25"/>
      <c r="O111" s="26">
        <f>H5+K10+J13+C12</f>
        <v>24</v>
      </c>
      <c r="P111">
        <v>35</v>
      </c>
    </row>
    <row r="112" spans="2:16">
      <c r="B112" s="9">
        <v>2</v>
      </c>
      <c r="C112" s="25"/>
      <c r="D112" s="25"/>
      <c r="E112" s="25"/>
      <c r="F112" s="25"/>
      <c r="G112" s="25"/>
      <c r="H112" s="25"/>
      <c r="I112" s="25"/>
      <c r="J112" s="25"/>
      <c r="K112" s="25"/>
      <c r="L112" s="25"/>
      <c r="M112" s="25"/>
    </row>
    <row r="113" spans="2:16">
      <c r="B113" s="9">
        <v>3</v>
      </c>
      <c r="C113" s="25">
        <v>0</v>
      </c>
      <c r="D113" s="25"/>
      <c r="E113" s="25"/>
      <c r="F113" s="25"/>
      <c r="G113" s="25"/>
      <c r="H113" s="25">
        <v>-99999990</v>
      </c>
      <c r="I113" s="25">
        <v>-11</v>
      </c>
      <c r="J113" s="25">
        <v>-1</v>
      </c>
      <c r="K113" s="25"/>
      <c r="L113" s="25"/>
      <c r="M113" s="25">
        <v>-10</v>
      </c>
    </row>
    <row r="114" spans="2:16">
      <c r="B114" s="9">
        <v>4</v>
      </c>
      <c r="C114" s="25"/>
      <c r="D114" s="25"/>
      <c r="E114" s="25"/>
      <c r="F114" s="25"/>
      <c r="G114" s="25"/>
      <c r="H114" s="25"/>
      <c r="I114" s="25"/>
      <c r="J114" s="25"/>
      <c r="K114" s="25"/>
      <c r="L114" s="25"/>
      <c r="M114" s="25"/>
    </row>
    <row r="115" spans="2:16">
      <c r="B115" s="9">
        <v>5</v>
      </c>
      <c r="C115" s="25"/>
      <c r="D115" s="25"/>
      <c r="E115" s="25"/>
      <c r="F115" s="25"/>
      <c r="G115" s="25"/>
      <c r="H115" s="25"/>
      <c r="I115" s="25"/>
      <c r="J115" s="25"/>
      <c r="K115" s="25"/>
      <c r="L115" s="25"/>
      <c r="M115" s="25"/>
    </row>
    <row r="116" spans="2:16">
      <c r="B116" s="9">
        <v>6</v>
      </c>
      <c r="C116" s="25"/>
      <c r="D116" s="25"/>
      <c r="E116" s="25"/>
      <c r="F116" s="25"/>
      <c r="G116" s="25"/>
      <c r="H116" s="25"/>
      <c r="I116" s="25"/>
      <c r="J116" s="25"/>
      <c r="K116" s="25"/>
      <c r="L116" s="25"/>
      <c r="M116" s="25"/>
    </row>
    <row r="117" spans="2:16">
      <c r="B117" s="9">
        <v>7</v>
      </c>
      <c r="C117" s="25">
        <v>0</v>
      </c>
      <c r="D117" s="25"/>
      <c r="E117" s="25"/>
      <c r="F117" s="25"/>
      <c r="G117" s="25"/>
      <c r="H117" s="25">
        <v>-3</v>
      </c>
      <c r="I117" s="25">
        <v>3</v>
      </c>
      <c r="J117" s="25">
        <v>0</v>
      </c>
      <c r="K117" s="25"/>
      <c r="L117" s="25"/>
      <c r="M117" s="25">
        <v>6</v>
      </c>
    </row>
    <row r="118" spans="2:16">
      <c r="B118" s="9">
        <v>8</v>
      </c>
      <c r="C118" s="25">
        <v>0</v>
      </c>
      <c r="D118" s="25"/>
      <c r="E118" s="25"/>
      <c r="F118" s="25"/>
      <c r="G118" s="25"/>
      <c r="H118" s="25"/>
      <c r="I118" s="25">
        <v>-1</v>
      </c>
      <c r="J118" s="25">
        <v>10</v>
      </c>
      <c r="K118" s="25"/>
      <c r="L118" s="25"/>
      <c r="M118" s="25">
        <v>1</v>
      </c>
    </row>
    <row r="119" spans="2:16">
      <c r="B119" s="9">
        <v>9</v>
      </c>
      <c r="C119" s="25"/>
      <c r="D119" s="25"/>
      <c r="E119" s="25"/>
      <c r="F119" s="25"/>
      <c r="G119" s="25"/>
      <c r="H119" s="25"/>
      <c r="I119" s="25"/>
      <c r="J119" s="25"/>
      <c r="K119" s="25"/>
      <c r="L119" s="25"/>
      <c r="M119" s="25"/>
    </row>
    <row r="120" spans="2:16">
      <c r="B120" s="9">
        <v>10</v>
      </c>
      <c r="C120" s="25">
        <v>0</v>
      </c>
      <c r="D120" s="25"/>
      <c r="E120" s="25"/>
      <c r="F120" s="25"/>
      <c r="G120" s="25"/>
      <c r="H120" s="25">
        <v>8</v>
      </c>
      <c r="I120" s="25">
        <v>-8</v>
      </c>
      <c r="J120" s="25">
        <v>6</v>
      </c>
      <c r="K120" s="25"/>
      <c r="L120" s="25"/>
      <c r="M120" s="25">
        <v>0</v>
      </c>
    </row>
    <row r="122" spans="2:16">
      <c r="B122" s="24" t="s">
        <v>63</v>
      </c>
    </row>
    <row r="124" spans="2:16">
      <c r="B124" s="7" t="s">
        <v>43</v>
      </c>
      <c r="C124" s="8">
        <v>0</v>
      </c>
      <c r="D124" s="8">
        <v>1</v>
      </c>
      <c r="E124" s="8">
        <v>2</v>
      </c>
      <c r="F124" s="8">
        <v>3</v>
      </c>
      <c r="G124" s="8">
        <v>4</v>
      </c>
      <c r="H124" s="8">
        <v>5</v>
      </c>
      <c r="I124" s="8">
        <v>6</v>
      </c>
      <c r="J124" s="8">
        <v>7</v>
      </c>
      <c r="K124" s="8">
        <v>8</v>
      </c>
      <c r="L124" s="8">
        <v>9</v>
      </c>
      <c r="M124" s="8">
        <v>10</v>
      </c>
      <c r="O124" t="s">
        <v>60</v>
      </c>
    </row>
    <row r="125" spans="2:16">
      <c r="B125" s="9">
        <v>0</v>
      </c>
      <c r="C125" s="25">
        <v>0</v>
      </c>
      <c r="D125" s="25"/>
      <c r="E125" s="25"/>
      <c r="F125" s="25"/>
      <c r="G125" s="25"/>
      <c r="H125" s="25">
        <v>0</v>
      </c>
      <c r="I125" s="25">
        <v>0</v>
      </c>
      <c r="J125" s="25"/>
      <c r="K125" s="25"/>
      <c r="L125" s="25"/>
      <c r="M125" s="25">
        <v>0</v>
      </c>
      <c r="O125" t="s">
        <v>56</v>
      </c>
    </row>
    <row r="126" spans="2:16">
      <c r="B126" s="9">
        <v>1</v>
      </c>
      <c r="C126" s="25"/>
      <c r="D126" s="25"/>
      <c r="E126" s="25"/>
      <c r="F126" s="25"/>
      <c r="G126" s="25"/>
      <c r="H126" s="25"/>
      <c r="I126" s="25"/>
      <c r="J126" s="25"/>
      <c r="K126" s="25"/>
      <c r="L126" s="25"/>
      <c r="M126" s="25"/>
      <c r="O126" s="26">
        <f>M5+H15+K10+J13+C12</f>
        <v>24</v>
      </c>
      <c r="P126">
        <v>35</v>
      </c>
    </row>
    <row r="127" spans="2:16">
      <c r="B127" s="9">
        <v>2</v>
      </c>
      <c r="C127" s="25"/>
      <c r="D127" s="25"/>
      <c r="E127" s="25"/>
      <c r="F127" s="25"/>
      <c r="G127" s="25"/>
      <c r="H127" s="25"/>
      <c r="I127" s="25"/>
      <c r="J127" s="25"/>
      <c r="K127" s="25"/>
      <c r="L127" s="25"/>
      <c r="M127" s="25"/>
    </row>
    <row r="128" spans="2:16">
      <c r="B128" s="9">
        <v>3</v>
      </c>
      <c r="C128" s="25">
        <v>0</v>
      </c>
      <c r="D128" s="25"/>
      <c r="E128" s="25"/>
      <c r="F128" s="25"/>
      <c r="G128" s="25"/>
      <c r="H128" s="25">
        <v>-99999990</v>
      </c>
      <c r="I128" s="25">
        <v>-11</v>
      </c>
      <c r="J128" s="25"/>
      <c r="K128" s="25"/>
      <c r="L128" s="25"/>
      <c r="M128" s="25">
        <v>-10</v>
      </c>
    </row>
    <row r="129" spans="2:21">
      <c r="B129" s="9">
        <v>4</v>
      </c>
      <c r="C129" s="25"/>
      <c r="D129" s="25"/>
      <c r="E129" s="25"/>
      <c r="F129" s="25"/>
      <c r="G129" s="25"/>
      <c r="H129" s="25"/>
      <c r="I129" s="25"/>
      <c r="J129" s="25"/>
      <c r="K129" s="25"/>
      <c r="L129" s="25"/>
      <c r="M129" s="25"/>
    </row>
    <row r="130" spans="2:21">
      <c r="B130" s="9">
        <v>5</v>
      </c>
      <c r="C130" s="25"/>
      <c r="D130" s="25"/>
      <c r="E130" s="25"/>
      <c r="F130" s="25"/>
      <c r="G130" s="25"/>
      <c r="H130" s="25"/>
      <c r="I130" s="25"/>
      <c r="J130" s="25"/>
      <c r="K130" s="25"/>
      <c r="L130" s="25"/>
      <c r="M130" s="25"/>
    </row>
    <row r="131" spans="2:21">
      <c r="B131" s="9">
        <v>6</v>
      </c>
      <c r="C131" s="25"/>
      <c r="D131" s="25"/>
      <c r="E131" s="25"/>
      <c r="F131" s="25"/>
      <c r="G131" s="25"/>
      <c r="H131" s="25"/>
      <c r="I131" s="25"/>
      <c r="J131" s="25"/>
      <c r="K131" s="25"/>
      <c r="L131" s="25"/>
      <c r="M131" s="25"/>
    </row>
    <row r="132" spans="2:21">
      <c r="B132" s="9">
        <v>7</v>
      </c>
      <c r="C132" s="25">
        <v>0</v>
      </c>
      <c r="D132" s="25"/>
      <c r="E132" s="25"/>
      <c r="F132" s="25"/>
      <c r="G132" s="25"/>
      <c r="H132" s="25">
        <v>-3</v>
      </c>
      <c r="I132" s="25">
        <v>3</v>
      </c>
      <c r="J132" s="25"/>
      <c r="K132" s="25"/>
      <c r="L132" s="25"/>
      <c r="M132" s="25">
        <v>6</v>
      </c>
    </row>
    <row r="133" spans="2:21">
      <c r="B133" s="9">
        <v>8</v>
      </c>
      <c r="C133" s="25"/>
      <c r="D133" s="25"/>
      <c r="E133" s="25"/>
      <c r="F133" s="25"/>
      <c r="G133" s="25"/>
      <c r="H133" s="25"/>
      <c r="I133" s="25"/>
      <c r="J133" s="25"/>
      <c r="K133" s="25"/>
      <c r="L133" s="25"/>
      <c r="M133" s="25"/>
    </row>
    <row r="134" spans="2:21">
      <c r="B134" s="9">
        <v>9</v>
      </c>
      <c r="C134" s="25"/>
      <c r="D134" s="25"/>
      <c r="E134" s="25"/>
      <c r="F134" s="25"/>
      <c r="G134" s="25"/>
      <c r="H134" s="25"/>
      <c r="I134" s="25"/>
      <c r="J134" s="25"/>
      <c r="K134" s="25"/>
      <c r="L134" s="25"/>
      <c r="M134" s="25"/>
    </row>
    <row r="135" spans="2:21">
      <c r="B135" s="9">
        <v>10</v>
      </c>
      <c r="C135" s="25">
        <v>0</v>
      </c>
      <c r="D135" s="25"/>
      <c r="E135" s="25"/>
      <c r="F135" s="25"/>
      <c r="G135" s="25"/>
      <c r="H135" s="25">
        <v>8</v>
      </c>
      <c r="I135" s="25">
        <v>-8</v>
      </c>
      <c r="J135" s="25"/>
      <c r="K135" s="25"/>
      <c r="L135" s="25"/>
      <c r="M135" s="25">
        <v>0</v>
      </c>
    </row>
    <row r="137" spans="2:21">
      <c r="B137" s="24" t="s">
        <v>63</v>
      </c>
    </row>
    <row r="139" spans="2:21">
      <c r="B139" s="7" t="s">
        <v>43</v>
      </c>
      <c r="C139" s="8">
        <v>0</v>
      </c>
      <c r="D139" s="8">
        <v>1</v>
      </c>
      <c r="E139" s="8">
        <v>2</v>
      </c>
      <c r="F139" s="8">
        <v>3</v>
      </c>
      <c r="G139" s="8">
        <v>4</v>
      </c>
      <c r="H139" s="8">
        <v>5</v>
      </c>
      <c r="I139" s="8">
        <v>6</v>
      </c>
      <c r="J139" s="8">
        <v>7</v>
      </c>
      <c r="K139" s="8">
        <v>8</v>
      </c>
      <c r="L139" s="8">
        <v>9</v>
      </c>
      <c r="M139" s="8">
        <v>10</v>
      </c>
    </row>
    <row r="140" spans="2:21">
      <c r="B140" s="9">
        <v>0</v>
      </c>
      <c r="C140" s="25"/>
      <c r="D140" s="25"/>
      <c r="E140" s="25"/>
      <c r="F140" s="25"/>
      <c r="G140" s="25"/>
      <c r="H140" s="25"/>
      <c r="I140" s="25"/>
      <c r="J140" s="25"/>
      <c r="K140" s="25"/>
      <c r="L140" s="25"/>
      <c r="M140" s="25"/>
      <c r="O140" t="s">
        <v>37</v>
      </c>
      <c r="P140" t="s">
        <v>69</v>
      </c>
      <c r="Q140" t="s">
        <v>70</v>
      </c>
      <c r="R140" t="s">
        <v>71</v>
      </c>
      <c r="S140" t="s">
        <v>74</v>
      </c>
      <c r="T140" t="s">
        <v>75</v>
      </c>
    </row>
    <row r="141" spans="2:21">
      <c r="B141" s="9">
        <v>1</v>
      </c>
      <c r="C141" s="25"/>
      <c r="D141" s="25"/>
      <c r="E141" s="25"/>
      <c r="F141" s="25"/>
      <c r="G141" s="25"/>
      <c r="H141" s="25"/>
      <c r="I141" s="25"/>
      <c r="J141" s="25"/>
      <c r="K141" s="25"/>
      <c r="L141" s="25"/>
      <c r="M141" s="25"/>
      <c r="O141">
        <v>1</v>
      </c>
      <c r="P141" t="s">
        <v>66</v>
      </c>
      <c r="Q141">
        <f>O81</f>
        <v>28</v>
      </c>
      <c r="R141">
        <f>Q141/25</f>
        <v>1.1200000000000001</v>
      </c>
      <c r="S141" s="27">
        <v>0</v>
      </c>
      <c r="T141" s="27">
        <f>S141+(R141/24)</f>
        <v>4.6666666666666669E-2</v>
      </c>
      <c r="U141" t="s">
        <v>72</v>
      </c>
    </row>
    <row r="142" spans="2:21">
      <c r="B142" s="9">
        <v>2</v>
      </c>
      <c r="C142" s="25"/>
      <c r="D142" s="25"/>
      <c r="E142" s="25"/>
      <c r="F142" s="25"/>
      <c r="G142" s="25"/>
      <c r="H142" s="25"/>
      <c r="I142" s="25"/>
      <c r="J142" s="25"/>
      <c r="K142" s="25"/>
      <c r="L142" s="25"/>
      <c r="M142" s="25"/>
      <c r="O142">
        <v>2</v>
      </c>
      <c r="P142" t="s">
        <v>56</v>
      </c>
      <c r="Q142">
        <f>O126</f>
        <v>24</v>
      </c>
      <c r="R142">
        <f>Q142/25</f>
        <v>0.96</v>
      </c>
      <c r="S142" s="27">
        <v>0</v>
      </c>
      <c r="T142" s="27">
        <f>S142+(R142/24)</f>
        <v>0.04</v>
      </c>
      <c r="U142" t="s">
        <v>73</v>
      </c>
    </row>
    <row r="143" spans="2:21">
      <c r="B143" s="9">
        <v>3</v>
      </c>
      <c r="C143" s="25"/>
      <c r="D143" s="25"/>
      <c r="E143" s="25"/>
      <c r="F143" s="25"/>
      <c r="G143" s="25"/>
      <c r="H143" s="25"/>
      <c r="I143" s="25"/>
      <c r="J143" s="25"/>
      <c r="K143" s="25"/>
      <c r="L143" s="25"/>
      <c r="M143" s="25"/>
    </row>
    <row r="144" spans="2:21">
      <c r="B144" s="9">
        <v>4</v>
      </c>
      <c r="C144" s="25"/>
      <c r="D144" s="25"/>
      <c r="E144" s="25"/>
      <c r="F144" s="25"/>
      <c r="G144" s="25"/>
      <c r="H144" s="25"/>
      <c r="I144" s="25"/>
      <c r="J144" s="25"/>
      <c r="K144" s="25"/>
      <c r="L144" s="25"/>
      <c r="M144" s="25"/>
    </row>
    <row r="145" spans="2:13">
      <c r="B145" s="9">
        <v>5</v>
      </c>
      <c r="C145" s="25"/>
      <c r="D145" s="25"/>
      <c r="E145" s="25"/>
      <c r="F145" s="25"/>
      <c r="G145" s="25"/>
      <c r="H145" s="25"/>
      <c r="I145" s="25"/>
      <c r="J145" s="25"/>
      <c r="K145" s="25"/>
      <c r="L145" s="25"/>
      <c r="M145" s="25"/>
    </row>
    <row r="146" spans="2:13">
      <c r="B146" s="9">
        <v>6</v>
      </c>
      <c r="C146" s="25"/>
      <c r="D146" s="25"/>
      <c r="E146" s="25"/>
      <c r="F146" s="25"/>
      <c r="G146" s="25"/>
      <c r="H146" s="25"/>
      <c r="I146" s="25"/>
      <c r="J146" s="25"/>
      <c r="K146" s="25"/>
      <c r="L146" s="25"/>
      <c r="M146" s="25"/>
    </row>
    <row r="147" spans="2:13">
      <c r="B147" s="9">
        <v>7</v>
      </c>
      <c r="C147" s="25"/>
      <c r="D147" s="25"/>
      <c r="E147" s="25"/>
      <c r="F147" s="25"/>
      <c r="G147" s="25"/>
      <c r="H147" s="25"/>
      <c r="I147" s="25"/>
      <c r="J147" s="25"/>
      <c r="K147" s="25"/>
      <c r="L147" s="25"/>
      <c r="M147" s="25"/>
    </row>
    <row r="148" spans="2:13">
      <c r="B148" s="9">
        <v>8</v>
      </c>
      <c r="C148" s="25"/>
      <c r="D148" s="25"/>
      <c r="E148" s="25"/>
      <c r="F148" s="25"/>
      <c r="G148" s="25"/>
      <c r="H148" s="25"/>
      <c r="I148" s="25"/>
      <c r="J148" s="25"/>
      <c r="K148" s="25"/>
      <c r="L148" s="25"/>
      <c r="M148" s="25"/>
    </row>
    <row r="149" spans="2:13">
      <c r="B149" s="9">
        <v>9</v>
      </c>
      <c r="C149" s="25"/>
      <c r="D149" s="25"/>
      <c r="E149" s="25"/>
      <c r="F149" s="25"/>
      <c r="G149" s="25"/>
      <c r="H149" s="25"/>
      <c r="I149" s="25"/>
      <c r="J149" s="25"/>
      <c r="K149" s="25"/>
      <c r="L149" s="25"/>
      <c r="M149" s="25"/>
    </row>
    <row r="150" spans="2:13">
      <c r="B150" s="9">
        <v>10</v>
      </c>
      <c r="C150" s="25"/>
      <c r="D150" s="25"/>
      <c r="E150" s="25"/>
      <c r="F150" s="25"/>
      <c r="G150" s="25"/>
      <c r="H150" s="25"/>
      <c r="I150" s="25"/>
      <c r="J150" s="25"/>
      <c r="K150" s="25"/>
      <c r="L150" s="25"/>
      <c r="M150" s="25"/>
    </row>
  </sheetData>
  <conditionalFormatting sqref="C20:M30 O21">
    <cfRule type="top10" dxfId="35" priority="32" rank="1"/>
    <cfRule type="containsBlanks" dxfId="34" priority="31">
      <formula>LEN(TRIM(C20))=0</formula>
    </cfRule>
  </conditionalFormatting>
  <conditionalFormatting sqref="C35:M45">
    <cfRule type="containsBlanks" dxfId="28" priority="29">
      <formula>LEN(TRIM(C35))=0</formula>
    </cfRule>
    <cfRule type="top10" dxfId="29" priority="30" rank="1"/>
  </conditionalFormatting>
  <conditionalFormatting sqref="O36">
    <cfRule type="containsBlanks" dxfId="26" priority="27">
      <formula>LEN(TRIM(O36))=0</formula>
    </cfRule>
    <cfRule type="top10" dxfId="27" priority="28" rank="1"/>
  </conditionalFormatting>
  <conditionalFormatting sqref="C50:M60">
    <cfRule type="containsBlanks" dxfId="25" priority="25">
      <formula>LEN(TRIM(C50))=0</formula>
    </cfRule>
    <cfRule type="top10" dxfId="24" priority="26" rank="1"/>
  </conditionalFormatting>
  <conditionalFormatting sqref="O51">
    <cfRule type="containsBlanks" dxfId="23" priority="23">
      <formula>LEN(TRIM(O51))=0</formula>
    </cfRule>
    <cfRule type="top10" dxfId="22" priority="24" rank="1"/>
  </conditionalFormatting>
  <conditionalFormatting sqref="C65:M75">
    <cfRule type="containsBlanks" dxfId="21" priority="21">
      <formula>LEN(TRIM(C65))=0</formula>
    </cfRule>
    <cfRule type="top10" dxfId="20" priority="22" rank="1"/>
  </conditionalFormatting>
  <conditionalFormatting sqref="O66">
    <cfRule type="containsBlanks" dxfId="19" priority="19">
      <formula>LEN(TRIM(O66))=0</formula>
    </cfRule>
    <cfRule type="top10" dxfId="18" priority="20" rank="1"/>
  </conditionalFormatting>
  <conditionalFormatting sqref="C80:M90">
    <cfRule type="containsBlanks" dxfId="17" priority="17">
      <formula>LEN(TRIM(C80))=0</formula>
    </cfRule>
    <cfRule type="top10" dxfId="16" priority="18" rank="1"/>
  </conditionalFormatting>
  <conditionalFormatting sqref="O81">
    <cfRule type="containsBlanks" dxfId="15" priority="15">
      <formula>LEN(TRIM(O81))=0</formula>
    </cfRule>
    <cfRule type="top10" dxfId="14" priority="16" rank="1"/>
  </conditionalFormatting>
  <conditionalFormatting sqref="C95:M105">
    <cfRule type="containsBlanks" dxfId="13" priority="13">
      <formula>LEN(TRIM(C95))=0</formula>
    </cfRule>
    <cfRule type="top10" dxfId="12" priority="14" rank="1"/>
  </conditionalFormatting>
  <conditionalFormatting sqref="O96">
    <cfRule type="containsBlanks" dxfId="11" priority="11">
      <formula>LEN(TRIM(O96))=0</formula>
    </cfRule>
    <cfRule type="top10" dxfId="10" priority="12" rank="1"/>
  </conditionalFormatting>
  <conditionalFormatting sqref="C110:M120">
    <cfRule type="containsBlanks" dxfId="9" priority="9">
      <formula>LEN(TRIM(C110))=0</formula>
    </cfRule>
    <cfRule type="top10" dxfId="8" priority="10" rank="1"/>
  </conditionalFormatting>
  <conditionalFormatting sqref="O111">
    <cfRule type="containsBlanks" dxfId="7" priority="7">
      <formula>LEN(TRIM(O111))=0</formula>
    </cfRule>
    <cfRule type="top10" dxfId="6" priority="8" rank="1"/>
  </conditionalFormatting>
  <conditionalFormatting sqref="C125:M135">
    <cfRule type="containsBlanks" dxfId="5" priority="5">
      <formula>LEN(TRIM(C125))=0</formula>
    </cfRule>
    <cfRule type="top10" dxfId="4" priority="6" rank="1"/>
  </conditionalFormatting>
  <conditionalFormatting sqref="O126">
    <cfRule type="containsBlanks" dxfId="3" priority="3">
      <formula>LEN(TRIM(O126))=0</formula>
    </cfRule>
    <cfRule type="top10" dxfId="2" priority="4" rank="1"/>
  </conditionalFormatting>
  <conditionalFormatting sqref="C140:M150">
    <cfRule type="containsBlanks" dxfId="1" priority="1">
      <formula>LEN(TRIM(C140))=0</formula>
    </cfRule>
    <cfRule type="top10" dxfId="0" priority="2" rank="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Datos_punto1</vt:lpstr>
      <vt:lpstr>Respuestas Punto 1</vt:lpstr>
      <vt:lpstr>Datos_Punto2</vt:lpstr>
      <vt:lpstr>Respuestas Punto 2</vt:lpstr>
      <vt:lpstr>C&amp;W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Camilo Andres</cp:lastModifiedBy>
  <cp:revision/>
  <dcterms:created xsi:type="dcterms:W3CDTF">2025-09-21T19:11:57Z</dcterms:created>
  <dcterms:modified xsi:type="dcterms:W3CDTF">2025-10-23T01:32:57Z</dcterms:modified>
  <cp:category/>
  <cp:contentStatus/>
</cp:coreProperties>
</file>